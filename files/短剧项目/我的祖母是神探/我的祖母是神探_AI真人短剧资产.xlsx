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6db5351c8a46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制作总览" sheetId="1" r:id="R9e3af593927c400f"/>
    <x:sheet xmlns:r="http://schemas.openxmlformats.org/officeDocument/2006/relationships" name="资产总表" sheetId="2" r:id="R32be07f9a7dc4983"/>
    <x:sheet xmlns:r="http://schemas.openxmlformats.org/officeDocument/2006/relationships" name="人物资产" sheetId="3" r:id="Rd263d5442bd54d52"/>
    <x:sheet xmlns:r="http://schemas.openxmlformats.org/officeDocument/2006/relationships" name="场景资产" sheetId="4" r:id="Ra6cde301c2b0450a"/>
    <x:sheet xmlns:r="http://schemas.openxmlformats.org/officeDocument/2006/relationships" name="道具资产" sheetId="5" r:id="R676eed9989fb4f2f"/>
    <x:sheet xmlns:r="http://schemas.openxmlformats.org/officeDocument/2006/relationships" name="其他资产" sheetId="6" r:id="R2be3081bda404e54"/>
    <x:sheet xmlns:r="http://schemas.openxmlformats.org/officeDocument/2006/relationships" name="人物小传" sheetId="7" r:id="R342da36af22b4d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2">
    <x:font>
      <x:sz val="11"/>
      <x:name val="Carlito"/>
    </x:font>
    <x:font>
      <x:b/>
      <x:sz val="20"/>
      <x:color rgb="FFFFFFFF"/>
      <x:name val="Arial"/>
    </x:font>
    <x:font>
      <x:sz val="11"/>
      <x:color rgb="FF687386"/>
      <x:name val="Arial"/>
    </x:font>
    <x:font>
      <x:b/>
      <x:sz val="11"/>
      <x:color rgb="FFFFFFFF"/>
      <x:name val="Carlito"/>
    </x:font>
    <x:font>
      <x:sz val="11"/>
      <x:color rgb="FF273246"/>
      <x:name val="Carlito"/>
    </x:font>
    <x:font>
      <x:b/>
      <x:sz val="10"/>
      <x:color rgb="FF273246"/>
      <x:name val="Arial"/>
    </x:font>
    <x:font>
      <x:sz val="10"/>
      <x:color rgb="FF273246"/>
      <x:name val="Arial"/>
    </x:font>
    <x:font>
      <x:b/>
      <x:sz val="10"/>
      <x:color rgb="FFFFFFFF"/>
      <x:name val="Arial"/>
    </x:font>
    <x:font>
      <x:b/>
      <x:sz val="18"/>
      <x:color rgb="FFFFFFFF"/>
      <x:name val="Carlito"/>
    </x:font>
    <x:font>
      <x:i/>
      <x:sz val="10"/>
      <x:color rgb="FF496170"/>
      <x:name val="Carlito"/>
    </x:font>
    <x:font>
      <x:sz val="10"/>
      <x:color rgb="FF23313B"/>
      <x:name val="Carlito"/>
    </x:font>
    <x:font>
      <x:b/>
      <x:sz val="10"/>
      <x:color rgb="FF17324D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8263D"/>
      </x:patternFill>
    </x:fill>
    <x:fill>
      <x:patternFill patternType="solid">
        <x:fgColor rgb="FFA9543D"/>
      </x:patternFill>
    </x:fill>
    <x:fill>
      <x:patternFill patternType="solid">
        <x:fgColor rgb="FFEEF2F5"/>
      </x:patternFill>
    </x:fill>
    <x:fill>
      <x:patternFill patternType="solid">
        <x:fgColor rgb="FFF3F0EA"/>
      </x:patternFill>
    </x:fill>
    <x:fill>
      <x:patternFill patternType="solid">
        <x:fgColor rgb="FF17324D"/>
      </x:patternFill>
    </x:fill>
    <x:fill>
      <x:patternFill patternType="solid">
        <x:fgColor rgb="FFE8EEF2"/>
      </x:patternFill>
    </x:fill>
    <x:fill>
      <x:patternFill patternType="solid">
        <x:fgColor rgb="FFA94F36"/>
      </x:patternFill>
    </x:fill>
  </x:fills>
  <x:borders count="13">
    <x:border/>
    <x:border>
      <x:bottom style="thin">
        <x:color rgb="FFD9E0E6"/>
      </x:bottom>
    </x:border>
    <x:border>
      <x:top style="thin">
        <x:color rgb="FFD9E0E6"/>
      </x:top>
      <x:bottom style="thin">
        <x:color rgb="FFD9E0E6"/>
      </x:bottom>
    </x:border>
    <x:border>
      <x:top style="thin">
        <x:color rgb="FFD9E0E6"/>
      </x:top>
    </x:border>
    <x:border>
      <x:bottom style="thin">
        <x:color rgb="FFE2DDD5"/>
      </x:bottom>
    </x:border>
    <x:border>
      <x:top style="thin">
        <x:color rgb="FFE2DDD5"/>
      </x:top>
      <x:bottom style="thin">
        <x:color rgb="FFE2DDD5"/>
      </x:bottom>
    </x:border>
    <x:border>
      <x:top style="thin">
        <x:color rgb="FFE2DDD5"/>
      </x:top>
    </x:border>
    <x:border>
      <x:left style="thin">
        <x:color rgb="FF18263D"/>
      </x:left>
      <x:top style="thin">
        <x:color rgb="FF18263D"/>
      </x:top>
      <x:bottom style="thin">
        <x:color rgb="FF18263D"/>
      </x:bottom>
    </x:border>
    <x:border>
      <x:top style="thin">
        <x:color rgb="FF18263D"/>
      </x:top>
      <x:bottom style="thin">
        <x:color rgb="FF18263D"/>
      </x:bottom>
    </x:border>
    <x:border>
      <x:right style="thin">
        <x:color rgb="FF18263D"/>
      </x:right>
      <x:top style="thin">
        <x:color rgb="FF18263D"/>
      </x:top>
      <x:bottom style="thin">
        <x:color rgb="FF18263D"/>
      </x:bottom>
    </x:border>
    <x:border>
      <x:bottom style="thin">
        <x:color rgb="FFD8E0E5"/>
      </x:bottom>
    </x:border>
    <x:border>
      <x:top style="thin">
        <x:color rgb="FFD8E0E5"/>
      </x:top>
      <x:bottom style="thin">
        <x:color rgb="FFD8E0E5"/>
      </x:bottom>
    </x:border>
    <x:border>
      <x:top style="thin">
        <x:color rgb="FFD8E0E5"/>
      </x:top>
    </x:border>
  </x:borders>
  <x:cellStyleXfs count="1">
    <x:xf numFmtId="0" fontId="0" fillId="0" borderId="0"/>
  </x:cellStyleXfs>
  <x:cellXfs count="9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3" fillId="2" borderId="7" xfId="0" applyNumberFormat="1" applyFont="1" applyFill="1" applyBorder="1"/>
    <x:xf numFmtId="0" fontId="3" fillId="2" borderId="8" xfId="0" applyNumberFormat="1" applyFont="1" applyFill="1" applyBorder="1"/>
    <x:xf numFmtId="0" fontId="3" fillId="2" borderId="9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8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5" fillId="2" borderId="7" xfId="0" applyNumberFormat="1" applyFont="1" applyFill="1" applyBorder="1" applyAlignment="1">
      <x:alignment horizontal="center" vertical="center" wrapText="1"/>
    </x:xf>
    <x:xf numFmtId="0" fontId="5" fillId="2" borderId="8" xfId="0" applyNumberFormat="1" applyFont="1" applyFill="1" applyBorder="1" applyAlignment="1">
      <x:alignment horizontal="center" vertical="center" wrapText="1"/>
    </x:xf>
    <x:xf numFmtId="0" fontId="5" fillId="2" borderId="9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7" fillId="2" borderId="7" xfId="0" applyNumberFormat="1" applyFont="1" applyFill="1" applyBorder="1" applyAlignment="1">
      <x:alignment horizontal="center" vertical="center" wrapText="1"/>
    </x:xf>
    <x:xf numFmtId="0" fontId="7" fillId="2" borderId="8" xfId="0" applyNumberFormat="1" applyFont="1" applyFill="1" applyBorder="1" applyAlignment="1">
      <x:alignment horizontal="center" vertical="center" wrapText="1"/>
    </x:xf>
    <x:xf numFmtId="0" fontId="7" fillId="2" borderId="9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10" fillId="0" borderId="10" xfId="0" applyNumberFormat="1" applyFont="1" applyFill="1" applyBorder="1"/>
    <x:xf numFmtId="0" fontId="10" fillId="0" borderId="11" xfId="0" applyNumberFormat="1" applyFont="1" applyFill="1" applyBorder="1"/>
    <x:xf numFmtId="0" fontId="10" fillId="0" borderId="12" xfId="0" applyNumberFormat="1" applyFont="1" applyFill="1" applyBorder="1"/>
    <x:xf numFmtId="0" fontId="10" fillId="0" borderId="10" xfId="0" applyNumberFormat="1" applyFont="1" applyFill="1" applyBorder="1" applyAlignment="1">
      <x:alignment wrapText="1"/>
    </x:xf>
    <x:xf numFmtId="0" fontId="10" fillId="0" borderId="11" xfId="0" applyNumberFormat="1" applyFont="1" applyFill="1" applyBorder="1" applyAlignment="1">
      <x:alignment wrapText="1"/>
    </x:xf>
    <x:xf numFmtId="0" fontId="10" fillId="0" borderId="12" xfId="0" applyNumberFormat="1" applyFont="1" applyFill="1" applyBorder="1" applyAlignment="1">
      <x:alignment wrapText="1"/>
    </x:xf>
    <x:xf numFmtId="0" fontId="10" fillId="0" borderId="10" xfId="0" applyNumberFormat="1" applyFont="1" applyFill="1" applyBorder="1" applyAlignment="1">
      <x:alignment vertical="top" wrapText="1"/>
    </x:xf>
    <x:xf numFmtId="0" fontId="10" fillId="0" borderId="11" xfId="0" applyNumberFormat="1" applyFont="1" applyFill="1" applyBorder="1" applyAlignment="1">
      <x:alignment vertical="top" wrapText="1"/>
    </x:xf>
    <x:xf numFmtId="0" fontId="10" fillId="0" borderId="12" xfId="0" applyNumberFormat="1" applyFont="1" applyFill="1" applyBorder="1" applyAlignment="1">
      <x:alignment vertical="top" wrapText="1"/>
    </x:xf>
    <x:xf numFmtId="0" fontId="11" fillId="0" borderId="10" xfId="0" applyNumberFormat="1" applyFont="1" applyFill="1" applyBorder="1" applyAlignment="1">
      <x:alignment vertical="top" wrapText="1"/>
    </x:xf>
    <x:xf numFmtId="0" fontId="11" fillId="0" borderId="11" xfId="0" applyNumberFormat="1" applyFont="1" applyFill="1" applyBorder="1" applyAlignment="1">
      <x:alignment vertical="top" wrapText="1"/>
    </x:xf>
    <x:xf numFmtId="0" fontId="11" fillId="0" borderId="12" xfId="0" applyNumberFormat="1" applyFont="1" applyFill="1" applyBorder="1" applyAlignment="1">
      <x:alignment vertical="top" wrapText="1"/>
    </x:xf>
    <x:xf numFmtId="200" fontId="10" fillId="0" borderId="10" xfId="0" applyNumberFormat="1" applyFont="1" applyFill="1" applyBorder="1" applyAlignment="1">
      <x:alignment vertical="top" wrapText="1"/>
    </x:xf>
    <x:xf numFmtId="200" fontId="10" fillId="0" borderId="11" xfId="0" applyNumberFormat="1" applyFont="1" applyFill="1" applyBorder="1" applyAlignment="1">
      <x:alignment vertical="top" wrapText="1"/>
    </x:xf>
    <x:xf numFmtId="200" fontId="10" fillId="0" borderId="12" xfId="0" applyNumberFormat="1" applyFont="1" applyFill="1" applyBorder="1" applyAlignment="1">
      <x:alignment vertical="top" wrapText="1"/>
    </x:xf>
    <x:xf numFmtId="200" fontId="10" fillId="0" borderId="10" xfId="0" applyNumberFormat="1" applyFont="1" applyFill="1" applyBorder="1" applyAlignment="1">
      <x:alignment horizontal="center" vertical="top" wrapText="1"/>
    </x:xf>
    <x:xf numFmtId="200" fontId="10" fillId="0" borderId="11" xfId="0" applyNumberFormat="1" applyFont="1" applyFill="1" applyBorder="1" applyAlignment="1">
      <x:alignment horizontal="center" vertical="top" wrapText="1"/>
    </x:xf>
    <x:xf numFmtId="200" fontId="10" fillId="0" borderId="12" xfId="0" applyNumberFormat="1" applyFont="1" applyFill="1" applyBorder="1" applyAlignment="1">
      <x:alignment horizontal="center" vertical="top" wrapText="1"/>
    </x:xf>
    <x:xf numFmtId="200" fontId="10" fillId="0" borderId="10" xfId="0" applyNumberFormat="1" applyFont="1" applyFill="1" applyBorder="1" applyAlignment="1">
      <x:alignment horizontal="center" vertical="center" wrapText="1"/>
    </x:xf>
    <x:xf numFmtId="200" fontId="10" fillId="0" borderId="11" xfId="0" applyNumberFormat="1" applyFont="1" applyFill="1" applyBorder="1" applyAlignment="1">
      <x:alignment horizontal="center" vertical="center" wrapText="1"/>
    </x:xf>
    <x:xf numFmtId="200" fontId="10" fillId="0" borderId="1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5e74cad9cb4be2" /><Relationship Type="http://schemas.openxmlformats.org/officeDocument/2006/relationships/theme" Target="/xl/theme/theme1.xml" Id="R0edd013c3e0b4de1" /><Relationship Type="http://schemas.openxmlformats.org/officeDocument/2006/relationships/sharedStrings" Target="/xl/sharedStrings.xml" Id="R94d51a7b5171481e" /><Relationship Type="http://schemas.openxmlformats.org/officeDocument/2006/relationships/worksheet" Target="/xl/worksheets/sheet1.xml" Id="R9e3af593927c400f" /><Relationship Type="http://schemas.openxmlformats.org/officeDocument/2006/relationships/worksheet" Target="/xl/worksheets/sheet2.xml" Id="R32be07f9a7dc4983" /><Relationship Type="http://schemas.openxmlformats.org/officeDocument/2006/relationships/worksheet" Target="/xl/worksheets/sheet3.xml" Id="Rd263d5442bd54d52" /><Relationship Type="http://schemas.openxmlformats.org/officeDocument/2006/relationships/worksheet" Target="/xl/worksheets/sheet4.xml" Id="Ra6cde301c2b0450a" /><Relationship Type="http://schemas.openxmlformats.org/officeDocument/2006/relationships/worksheet" Target="/xl/worksheets/sheet5.xml" Id="R676eed9989fb4f2f" /><Relationship Type="http://schemas.openxmlformats.org/officeDocument/2006/relationships/worksheet" Target="/xl/worksheets/sheet6.xml" Id="R2be3081bda404e54" /><Relationship Type="http://schemas.openxmlformats.org/officeDocument/2006/relationships/worksheet" Target="/xl/worksheets/sheet7.xml" Id="R342da36af22b4de8" /></Relationships>
</file>

<file path=xl/tables/table1.xml><?xml version="1.0" encoding="utf-8"?>
<x:table xmlns:x="http://schemas.openxmlformats.org/spreadsheetml/2006/main" id="1" name="AssetSummary" displayName="AssetSummary" ref="A1:H99" headerRowCount="1" totalsRowCount="0" totalsRowShown="0">
  <x:autoFilter ref="A1:H99"/>
  <x:tableColumns count="8">
    <x:tableColumn id="1" name="资产ID"/>
    <x:tableColumn id="2" name="资产名称"/>
    <x:tableColumn id="3" name="资产类别"/>
    <x:tableColumn id="4" name="资产描述"/>
    <x:tableColumn id="5" name="涉及集数"/>
    <x:tableColumn id="6" name="优先级"/>
    <x:tableColumn id="7" name="状态"/>
    <x:tableColumn id="8" name="来源分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opleAssets" displayName="PeopleAssets" ref="A1:L32" headerRowCount="1" totalsRowCount="0" totalsRowShown="0">
  <x:autoFilter ref="A1:L32"/>
  <x:tableColumns count="12">
    <x:tableColumn id="1" name="资产ID"/>
    <x:tableColumn id="2" name="人物"/>
    <x:tableColumn id="3" name="资产版本"/>
    <x:tableColumn id="4" name="人物基准"/>
    <x:tableColumn id="5" name="服装造型"/>
    <x:tableColumn id="6" name="妆发状态"/>
    <x:tableColumn id="7" name="状态变化"/>
    <x:tableColumn id="8" name="使用集数"/>
    <x:tableColumn id="9" name="连续性组"/>
    <x:tableColumn id="10" name="优先级"/>
    <x:tableColumn id="11" name="状态"/>
    <x:tableColumn id="12" name="资产图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eneAssets" displayName="SceneAssets" ref="A1:K21" headerRowCount="1" totalsRowCount="0" totalsRowShown="0">
  <x:autoFilter ref="A1:K21"/>
  <x:tableColumns count="11">
    <x:tableColumn id="1" name="资产ID"/>
    <x:tableColumn id="2" name="场景名称"/>
    <x:tableColumn id="3" name="场景级别"/>
    <x:tableColumn id="4" name="视觉设计"/>
    <x:tableColumn id="5" name="内外景"/>
    <x:tableColumn id="6" name="时段|天气"/>
    <x:tableColumn id="7" name="涉及集数"/>
    <x:tableColumn id="8" name="优先级"/>
    <x:tableColumn id="9" name="连续性|搭建要求"/>
    <x:tableColumn id="10" name="状态"/>
    <x:tableColumn id="11" name="资产图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pAssets" displayName="PropAssets" ref="A1:K31" headerRowCount="1" totalsRowCount="0" totalsRowShown="0">
  <x:autoFilter ref="A1:K31"/>
  <x:tableColumns count="11">
    <x:tableColumn id="1" name="资产ID"/>
    <x:tableColumn id="2" name="道具名称"/>
    <x:tableColumn id="3" name="功能"/>
    <x:tableColumn id="4" name="设计说明"/>
    <x:tableColumn id="5" name="持有人|归属"/>
    <x:tableColumn id="6" name="涉及集数"/>
    <x:tableColumn id="7" name="优先级"/>
    <x:tableColumn id="8" name="数量|版本"/>
    <x:tableColumn id="9" name="连续性|制作要求"/>
    <x:tableColumn id="10" name="状态"/>
    <x:tableColumn id="11" name="资产图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therAssets" displayName="OtherAssets" ref="A1:K18" headerRowCount="1" totalsRowCount="0" totalsRowShown="0">
  <x:autoFilter ref="A1:K18"/>
  <x:tableColumns count="11">
    <x:tableColumn id="1" name="资产ID"/>
    <x:tableColumn id="2" name="资产名称"/>
    <x:tableColumn id="3" name="功能"/>
    <x:tableColumn id="4" name="内容说明"/>
    <x:tableColumn id="5" name="适用范围"/>
    <x:tableColumn id="6" name="涉及集数"/>
    <x:tableColumn id="7" name="优先级"/>
    <x:tableColumn id="8" name="数量|版本"/>
    <x:tableColumn id="9" name="制作要求"/>
    <x:tableColumn id="10" name="状态"/>
    <x:tableColumn id="11" name="资产图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haracterBiosTable" displayName="CharacterBiosTable" ref="A4:H17" headerRowCount="1" totalsRowCount="0" totalsRowShown="0">
  <x:autoFilter ref="A4:H17"/>
  <x:tableColumns count="8">
    <x:tableColumn id="1" name="人物"/>
    <x:tableColumn id="2" name="角色定位"/>
    <x:tableColumn id="3" name="人物小传"/>
    <x:tableColumn id="4" name="核心欲望"/>
    <x:tableColumn id="5" name="深层恐惧"/>
    <x:tableColumn id="6" name="人物弧光"/>
    <x:tableColumn id="7" name="表演抓手"/>
    <x:tableColumn id="8" name="造型资产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4cb31f351a74d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9255daa4c34a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b933494d25f46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062f8d11d6e43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8c8ebc4a937451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2b8efdf1d184e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2" hidden="0" customWidth="1"/>
    <x:col min="3" max="3" width="34" hidden="0" customWidth="1"/>
    <x:col min="4" max="4" width="4" hidden="0" customWidth="1"/>
    <x:col min="5" max="5" width="21" hidden="0" customWidth="1"/>
    <x:col min="6" max="6" width="15" hidden="0" customWidth="1"/>
  </x:cols>
  <x:sheetData>
    <x:row r="1">
      <x:c r="A1" s="4" t="str">
        <x:v>《我的祖母是神探》AI真人短剧资产生产总览</x:v>
      </x:c>
      <x:c r="B1" s="4"/>
      <x:c r="C1" s="4"/>
      <x:c r="D1" s="4"/>
      <x:c r="E1" s="4"/>
      <x:c r="F1" s="4"/>
    </x:row>
    <x:row r="2">
      <x:c r="A2" s="4"/>
      <x:c r="B2" s="4"/>
      <x:c r="C2" s="4"/>
      <x:c r="D2" s="4"/>
      <x:c r="E2" s="4"/>
      <x:c r="F2" s="4"/>
    </x:row>
    <x:row r="3">
      <x:c r="A3" s="6" t="str">
        <x:v>30集 × 约75秒｜低饱和冷灰、旧木、锈红｜一行对应一项可直接生产的资产</x:v>
      </x:c>
      <x:c r="B3" s="6"/>
      <x:c r="C3" s="6"/>
      <x:c r="D3" s="6"/>
      <x:c r="E3" s="6"/>
      <x:c r="F3" s="6"/>
    </x:row>
    <x:row r="5">
      <x:c r="A5" s="9" t="str">
        <x:v>资产类别</x:v>
      </x:c>
      <x:c r="B5" s="9" t="str">
        <x:v>数量</x:v>
      </x:c>
      <x:c r="C5" s="9" t="str">
        <x:v>生产含义</x:v>
      </x:c>
      <x:c r="E5" s="9" t="str">
        <x:v>生产状态</x:v>
      </x:c>
      <x:c r="F5" s="9" t="str">
        <x:v>数量</x:v>
      </x:c>
    </x:row>
    <x:row r="6">
      <x:c r="A6" s="15" t="str">
        <x:v>人物</x:v>
      </x:c>
      <x:c r="B6" s="15" t="n">
        <x:f>COUNTIF('资产总表'!$C$2:$C$200,A6)</x:f>
        <x:v>31</x:v>
      </x:c>
      <x:c r="C6" s="15" t="str">
        <x:v>每行一套独立Look</x:v>
      </x:c>
      <x:c r="E6" s="23" t="str">
        <x:v>待生成</x:v>
      </x:c>
      <x:c r="F6" s="23" t="n">
        <x:f>COUNTIF('资产总表'!$G$2:$G$200,E6)</x:f>
        <x:v>98</x:v>
      </x:c>
    </x:row>
    <x:row r="7">
      <x:c r="A7" s="16" t="str">
        <x:v>场景</x:v>
      </x:c>
      <x:c r="B7" s="16" t="n">
        <x:f>COUNTIF('资产总表'!$C$2:$C$200,A7)</x:f>
        <x:v>20</x:v>
      </x:c>
      <x:c r="C7" s="16" t="str">
        <x:v>核心空间及时段版本</x:v>
      </x:c>
      <x:c r="E7" s="24" t="str">
        <x:v>生成中</x:v>
      </x:c>
      <x:c r="F7" s="24" t="n">
        <x:f>COUNTIF('资产总表'!$G$2:$G$200,E7)</x:f>
        <x:v>0</x:v>
      </x:c>
    </x:row>
    <x:row r="8">
      <x:c r="A8" s="16" t="str">
        <x:v>道具</x:v>
      </x:c>
      <x:c r="B8" s="16" t="n">
        <x:f>COUNTIF('资产总表'!$C$2:$C$200,A8)</x:f>
        <x:v>30</x:v>
      </x:c>
      <x:c r="C8" s="16" t="str">
        <x:v>英雄道具、证物与载具</x:v>
      </x:c>
      <x:c r="E8" s="24" t="str">
        <x:v>待审核</x:v>
      </x:c>
      <x:c r="F8" s="24" t="n">
        <x:f>COUNTIF('资产总表'!$G$2:$G$200,E8)</x:f>
        <x:v>0</x:v>
      </x:c>
    </x:row>
    <x:row r="9">
      <x:c r="A9" s="17" t="str">
        <x:v>其他资产</x:v>
      </x:c>
      <x:c r="B9" s="17" t="n">
        <x:f>COUNTIF('资产总表'!$C$2:$C$200,A9)</x:f>
        <x:v>17</x:v>
      </x:c>
      <x:c r="C9" s="17" t="str">
        <x:v>UI、声音、VFX与生产规范</x:v>
      </x:c>
      <x:c r="E9" s="25" t="str">
        <x:v>已锁定</x:v>
      </x:c>
      <x:c r="F9" s="25" t="n">
        <x:f>COUNTIF('资产总表'!$G$2:$G$200,E9)</x:f>
        <x:v>0</x:v>
      </x:c>
    </x:row>
    <x:row r="11">
      <x:c r="A11" s="26" t="str">
        <x:v>建议生产顺序</x:v>
      </x:c>
      <x:c r="B11" s="26"/>
      <x:c r="C11" s="26"/>
      <x:c r="D11" s="26"/>
      <x:c r="E11" s="26"/>
      <x:c r="F11" s="26"/>
    </x:row>
    <x:row r="12">
      <x:c r="A12" s="28" t="str">
        <x:v>01 锁定P0人物Look：先生成正面、45度、侧面、全身和表情参考。</x:v>
      </x:c>
      <x:c r="B12" s="28"/>
      <x:c r="C12" s="28"/>
      <x:c r="D12" s="28"/>
      <x:c r="E12" s="28"/>
      <x:c r="F12" s="28"/>
    </x:row>
    <x:row r="13">
      <x:c r="A13" s="28" t="str">
        <x:v>02 锁定核心场景：港口、Dot家、Rossi餐厅、Claire公寓和警局。</x:v>
      </x:c>
      <x:c r="B13" s="28"/>
      <x:c r="C13" s="28"/>
      <x:c r="D13" s="28"/>
      <x:c r="E13" s="28"/>
      <x:c r="F13" s="28"/>
    </x:row>
    <x:row r="14">
      <x:c r="A14" s="28" t="str">
        <x:v>03 生成核心道具：钥匙、银链、案卷、账页、手机UI、维修日志和铁盒。</x:v>
      </x:c>
      <x:c r="B14" s="28"/>
      <x:c r="C14" s="28"/>
      <x:c r="D14" s="28"/>
      <x:c r="E14" s="28"/>
      <x:c r="F14" s="28"/>
    </x:row>
    <x:row r="15">
      <x:c r="A15" s="28" t="str">
        <x:v>04 同一连续性组共用脸、衣服、发型和道具状态；只变化湿度、伤痕和情绪。</x:v>
      </x:c>
      <x:c r="B15" s="28"/>
      <x:c r="C15" s="28"/>
      <x:c r="D15" s="28"/>
      <x:c r="E15" s="28"/>
      <x:c r="F15" s="28"/>
    </x:row>
    <x:row r="17">
      <x:c r="A17" s="8" t="str">
        <x:v>使用说明</x:v>
      </x:c>
      <x:c r="B17" s="8"/>
      <x:c r="C17" s="8"/>
      <x:c r="D17" s="8"/>
      <x:c r="E17" s="8"/>
      <x:c r="F17" s="8"/>
    </x:row>
    <x:row r="18">
      <x:c r="A18" s="30" t="str">
        <x:v>人物完整小传统一收录在“人物小传”页；“人物资产”只保留生成所需的视觉基准与分造型信息，避免重复。</x:v>
      </x:c>
      <x:c r="B18" s="30"/>
      <x:c r="C18" s="30"/>
      <x:c r="D18" s="30"/>
      <x:c r="E18" s="30"/>
      <x:c r="F18" s="30"/>
    </x:row>
    <x:row r="19">
      <x:c r="A19" s="30"/>
      <x:c r="B19" s="30"/>
      <x:c r="C19" s="30"/>
      <x:c r="D19" s="30"/>
      <x:c r="E19" s="30"/>
      <x:c r="F19" s="30"/>
    </x:row>
    <x:row r="20">
      <x:c r="A20" s="30"/>
      <x:c r="B20" s="30"/>
      <x:c r="C20" s="30"/>
      <x:c r="D20" s="30"/>
      <x:c r="E20" s="30"/>
      <x:c r="F20" s="30"/>
    </x:row>
  </x:sheetData>
  <x:mergeCells>
    <x:mergeCell ref="A1:F2"/>
    <x:mergeCell ref="A3:F3"/>
    <x:mergeCell ref="A11:F11"/>
    <x:mergeCell ref="A12:F12"/>
    <x:mergeCell ref="A13:F13"/>
    <x:mergeCell ref="A14:F14"/>
    <x:mergeCell ref="A15:F15"/>
    <x:mergeCell ref="A17:F17"/>
    <x:mergeCell ref="A18:F20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15" hidden="0" customWidth="1"/>
    <x:col min="4" max="4" width="58" hidden="0" customWidth="1"/>
    <x:col min="5" max="5" width="24" hidden="0" customWidth="1"/>
    <x:col min="6" max="6" width="10" hidden="0" customWidth="1"/>
    <x:col min="7" max="7" width="13" hidden="0" customWidth="1"/>
    <x:col min="8" max="8" width="16" hidden="0" customWidth="1"/>
  </x:cols>
  <x:sheetData>
    <x:row r="1" ht="30" customHeight="1">
      <x:c r="A1" s="59" t="str">
        <x:v>资产ID</x:v>
      </x:c>
      <x:c r="B1" s="60" t="str">
        <x:v>资产名称</x:v>
      </x:c>
      <x:c r="C1" s="60" t="str">
        <x:v>资产类别</x:v>
      </x:c>
      <x:c r="D1" s="60" t="str">
        <x:v>资产描述</x:v>
      </x:c>
      <x:c r="E1" s="60" t="str">
        <x:v>涉及集数</x:v>
      </x:c>
      <x:c r="F1" s="60" t="str">
        <x:v>优先级</x:v>
      </x:c>
      <x:c r="G1" s="60" t="str">
        <x:v>状态</x:v>
      </x:c>
      <x:c r="H1" s="61" t="str">
        <x:v>来源分表</x:v>
      </x:c>
    </x:row>
    <x:row r="2" ht="42" customHeight="1">
      <x:c r="A2" s="56" t="str">
        <x:v>LOOK-CLA-01</x:v>
      </x:c>
      <x:c r="B2" s="56" t="str">
        <x:v>Claire Bennett｜基础毛衣·深色大衣</x:v>
      </x:c>
      <x:c r="C2" s="56" t="str">
        <x:v>人物</x:v>
      </x:c>
      <x:c r="D2" s="56" t="str">
        <x:v>深色旧羊毛衫＋深色长裤＋短靴；外景加深色旧大衣</x:v>
      </x:c>
      <x:c r="E2" s="56" t="str">
        <x:v>E01、E02、E03、E06</x:v>
      </x:c>
      <x:c r="F2" s="56" t="str">
        <x:v>P0</x:v>
      </x:c>
      <x:c r="G2" s="56" t="str">
        <x:v>待生成</x:v>
      </x:c>
      <x:c r="H2" s="56" t="str">
        <x:v>人物资产</x:v>
      </x:c>
    </x:row>
    <x:row r="3" ht="42" customHeight="1">
      <x:c r="A3" s="57" t="str">
        <x:v>LOOK-CLA-03</x:v>
      </x:c>
      <x:c r="B3" s="57" t="str">
        <x:v>Claire Bennett｜调查工装夹克</x:v>
      </x:c>
      <x:c r="C3" s="57" t="str">
        <x:v>人物</x:v>
      </x:c>
      <x:c r="D3" s="57" t="str">
        <x:v>深色工装/旅行夹克＋针织内搭＋牛仔裤＋短靴</x:v>
      </x:c>
      <x:c r="E3" s="57" t="str">
        <x:v>E04、E05、E07、E08、E09</x:v>
      </x:c>
      <x:c r="F3" s="57" t="str">
        <x:v>P0</x:v>
      </x:c>
      <x:c r="G3" s="57" t="str">
        <x:v>待生成</x:v>
      </x:c>
      <x:c r="H3" s="57" t="str">
        <x:v>人物资产</x:v>
      </x:c>
    </x:row>
    <x:row r="4" ht="42" customHeight="1">
      <x:c r="A4" s="57" t="str">
        <x:v>LOOK-CLA-07</x:v>
      </x:c>
      <x:c r="B4" s="57" t="str">
        <x:v>Claire Bennett｜中段暗红针织常服</x:v>
      </x:c>
      <x:c r="C4" s="57" t="str">
        <x:v>人物</x:v>
      </x:c>
      <x:c r="D4" s="57" t="str">
        <x:v>暗红/棕色针织衫＋深色长裤；外景加深色大衣</x:v>
      </x:c>
      <x:c r="E4" s="57" t="str">
        <x:v>E10、E11、E12、E13、E14、E15、E16、E17、E18、E19</x:v>
      </x:c>
      <x:c r="F4" s="57" t="str">
        <x:v>P0</x:v>
      </x:c>
      <x:c r="G4" s="57" t="str">
        <x:v>待生成</x:v>
      </x:c>
      <x:c r="H4" s="57" t="str">
        <x:v>人物资产</x:v>
      </x:c>
    </x:row>
    <x:row r="5" ht="42" customHeight="1">
      <x:c r="A5" s="57" t="str">
        <x:v>LOOK-CLA-08</x:v>
      </x:c>
      <x:c r="B5" s="57" t="str">
        <x:v>Claire Bennett｜后段深绿防风调查装</x:v>
      </x:c>
      <x:c r="C5" s="57" t="str">
        <x:v>人物</x:v>
      </x:c>
      <x:c r="D5" s="57" t="str">
        <x:v>深绿防风外套＋深色针织衫＋长裤</x:v>
      </x:c>
      <x:c r="E5" s="57" t="str">
        <x:v>E20、E21、E22、E23</x:v>
      </x:c>
      <x:c r="F5" s="57" t="str">
        <x:v>P0</x:v>
      </x:c>
      <x:c r="G5" s="57" t="str">
        <x:v>待生成</x:v>
      </x:c>
      <x:c r="H5" s="57" t="str">
        <x:v>人物资产</x:v>
      </x:c>
    </x:row>
    <x:row r="6" ht="42" customHeight="1">
      <x:c r="A6" s="57" t="str">
        <x:v>LOOK-CLA-09</x:v>
      </x:c>
      <x:c r="B6" s="57" t="str">
        <x:v>Claire Bennett｜授权监听行动装</x:v>
      </x:c>
      <x:c r="C6" s="57" t="str">
        <x:v>人物</x:v>
      </x:c>
      <x:c r="D6" s="57" t="str">
        <x:v>暗红衬衫/针织上衣＋深色外套＋深色长裤；胸前佩戴银色监听饰针</x:v>
      </x:c>
      <x:c r="E6" s="57" t="str">
        <x:v>E24、E25、E26、E27</x:v>
      </x:c>
      <x:c r="F6" s="57" t="str">
        <x:v>P0</x:v>
      </x:c>
      <x:c r="G6" s="57" t="str">
        <x:v>待生成</x:v>
      </x:c>
      <x:c r="H6" s="57" t="str">
        <x:v>人物资产</x:v>
      </x:c>
    </x:row>
    <x:row r="7" ht="42" customHeight="1">
      <x:c r="A7" s="57" t="str">
        <x:v>LOOK-CLA-10</x:v>
      </x:c>
      <x:c r="B7" s="57" t="str">
        <x:v>Claire Bennett｜善后家居针织装</x:v>
      </x:c>
      <x:c r="C7" s="57" t="str">
        <x:v>人物</x:v>
      </x:c>
      <x:c r="D7" s="57" t="str">
        <x:v>柔软深棕/暗红家居针织衫＋宽松长裤</x:v>
      </x:c>
      <x:c r="E7" s="57" t="str">
        <x:v>E29</x:v>
      </x:c>
      <x:c r="F7" s="57" t="str">
        <x:v>P0</x:v>
      </x:c>
      <x:c r="G7" s="57" t="str">
        <x:v>待生成</x:v>
      </x:c>
      <x:c r="H7" s="57" t="str">
        <x:v>人物资产</x:v>
      </x:c>
    </x:row>
    <x:row r="8" ht="42" customHeight="1">
      <x:c r="A8" s="57" t="str">
        <x:v>LOOK-CLA-11</x:v>
      </x:c>
      <x:c r="B8" s="57" t="str">
        <x:v>Claire Bennett｜港口结局大衣</x:v>
      </x:c>
      <x:c r="C8" s="57" t="str">
        <x:v>人物</x:v>
      </x:c>
      <x:c r="D8" s="57" t="str">
        <x:v>深蓝大衣＋暗红围巾＋深色长裤＋短靴</x:v>
      </x:c>
      <x:c r="E8" s="57" t="str">
        <x:v>E30</x:v>
      </x:c>
      <x:c r="F8" s="57" t="str">
        <x:v>P0</x:v>
      </x:c>
      <x:c r="G8" s="57" t="str">
        <x:v>待生成</x:v>
      </x:c>
      <x:c r="H8" s="57" t="str">
        <x:v>人物资产</x:v>
      </x:c>
    </x:row>
    <x:row r="9" ht="42" customHeight="1">
      <x:c r="A9" s="57" t="str">
        <x:v>LOOK-DOT-01</x:v>
      </x:c>
      <x:c r="B9" s="57" t="str">
        <x:v>Dorothy “Dot” Bennett｜基础居家开衫</x:v>
      </x:c>
      <x:c r="C9" s="57" t="str">
        <x:v>人物</x:v>
      </x:c>
      <x:c r="D9" s="57" t="str">
        <x:v>深蓝/炭灰旧开衫＋浅色衬衫＋深色长裤＋实用皮鞋</x:v>
      </x:c>
      <x:c r="E9" s="57" t="str">
        <x:v>E03、E06、E11、E17</x:v>
      </x:c>
      <x:c r="F9" s="57" t="str">
        <x:v>P0</x:v>
      </x:c>
      <x:c r="G9" s="57" t="str">
        <x:v>待生成</x:v>
      </x:c>
      <x:c r="H9" s="57" t="str">
        <x:v>人物资产</x:v>
      </x:c>
    </x:row>
    <x:row r="10" ht="42" customHeight="1">
      <x:c r="A10" s="57" t="str">
        <x:v>LOOK-DOT-04</x:v>
      </x:c>
      <x:c r="B10" s="57" t="str">
        <x:v>Dorothy “Dot” Bennett｜旧风衣调查装</x:v>
      </x:c>
      <x:c r="C10" s="57" t="str">
        <x:v>人物</x:v>
      </x:c>
      <x:c r="D10" s="57" t="str">
        <x:v>深灰/橄榄灰旧风衣＋针织开衫＋深色长裤＋实用皮鞋</x:v>
      </x:c>
      <x:c r="E10" s="57" t="str">
        <x:v>E04、E05、E07、E08、E09、E10、E12、E13、E14、E15、E16、E18、E19、E20、E21、E22、E23、E24</x:v>
      </x:c>
      <x:c r="F10" s="57" t="str">
        <x:v>P0</x:v>
      </x:c>
      <x:c r="G10" s="57" t="str">
        <x:v>待生成</x:v>
      </x:c>
      <x:c r="H10" s="57" t="str">
        <x:v>人物资产</x:v>
      </x:c>
    </x:row>
    <x:row r="11" ht="42" customHeight="1">
      <x:c r="A11" s="57" t="str">
        <x:v>LOOK-DOT-07</x:v>
      </x:c>
      <x:c r="B11" s="57" t="str">
        <x:v>Dorothy “Dot” Bennett｜Rossi餐厅终局装</x:v>
      </x:c>
      <x:c r="C11" s="57" t="str">
        <x:v>人物</x:v>
      </x:c>
      <x:c r="D11" s="57" t="str">
        <x:v>深灰外套＋炭灰上衣＋深色长裤</x:v>
      </x:c>
      <x:c r="E11" s="57" t="str">
        <x:v>E25、E26、E27</x:v>
      </x:c>
      <x:c r="F11" s="57" t="str">
        <x:v>P0</x:v>
      </x:c>
      <x:c r="G11" s="57" t="str">
        <x:v>待生成</x:v>
      </x:c>
      <x:c r="H11" s="57" t="str">
        <x:v>人物资产</x:v>
      </x:c>
    </x:row>
    <x:row r="12" ht="42" customHeight="1">
      <x:c r="A12" s="57" t="str">
        <x:v>LOOK-DOT-08</x:v>
      </x:c>
      <x:c r="B12" s="57" t="str">
        <x:v>Dorothy “Dot” Bennett｜正式证词便装</x:v>
      </x:c>
      <x:c r="C12" s="57" t="str">
        <x:v>人物</x:v>
      </x:c>
      <x:c r="D12" s="57" t="str">
        <x:v>深蓝西装外套＋浅灰衬衫＋深色长裤</x:v>
      </x:c>
      <x:c r="E12" s="57" t="str">
        <x:v>E28</x:v>
      </x:c>
      <x:c r="F12" s="57" t="str">
        <x:v>P0</x:v>
      </x:c>
      <x:c r="G12" s="57" t="str">
        <x:v>待生成</x:v>
      </x:c>
      <x:c r="H12" s="57" t="str">
        <x:v>人物资产</x:v>
      </x:c>
    </x:row>
    <x:row r="13" ht="42" customHeight="1">
      <x:c r="A13" s="57" t="str">
        <x:v>LOOK-DOT-09</x:v>
      </x:c>
      <x:c r="B13" s="57" t="str">
        <x:v>Dorothy “Dot” Bennett｜善后与港口结局大衣</x:v>
      </x:c>
      <x:c r="C13" s="57" t="str">
        <x:v>人物</x:v>
      </x:c>
      <x:c r="D13" s="57" t="str">
        <x:v>炭灰大衣＋浅灰围巾＋深色长裤</x:v>
      </x:c>
      <x:c r="E13" s="57" t="str">
        <x:v>E29、E30</x:v>
      </x:c>
      <x:c r="F13" s="57" t="str">
        <x:v>P0</x:v>
      </x:c>
      <x:c r="G13" s="57" t="str">
        <x:v>待生成</x:v>
      </x:c>
      <x:c r="H13" s="57" t="str">
        <x:v>人物资产</x:v>
      </x:c>
    </x:row>
    <x:row r="14" ht="42" customHeight="1">
      <x:c r="A14" s="57" t="str">
        <x:v>LOOK-DOT-10</x:v>
      </x:c>
      <x:c r="B14" s="57" t="str">
        <x:v>Dorothy “Dot” Bennett｜1989年轻警探档案版</x:v>
      </x:c>
      <x:c r="C14" s="57" t="str">
        <x:v>人物</x:v>
      </x:c>
      <x:c r="D14" s="57" t="str">
        <x:v>1989年米灰风衣/便服西装＋浅色衬衫</x:v>
      </x:c>
      <x:c r="E14" s="57" t="str">
        <x:v>E03、E11、E17、E28</x:v>
      </x:c>
      <x:c r="F14" s="57" t="str">
        <x:v>P1</x:v>
      </x:c>
      <x:c r="G14" s="57" t="str">
        <x:v>待生成</x:v>
      </x:c>
      <x:c r="H14" s="57" t="str">
        <x:v>人物资产</x:v>
      </x:c>
    </x:row>
    <x:row r="15" ht="42" customHeight="1">
      <x:c r="A15" s="57" t="str">
        <x:v>LOOK-MEG-01</x:v>
      </x:c>
      <x:c r="B15" s="57" t="str">
        <x:v>Megan Torres｜案发当夜夹克装（干/湿状态）</x:v>
      </x:c>
      <x:c r="C15" s="57" t="str">
        <x:v>人物</x:v>
      </x:c>
      <x:c r="D15" s="57" t="str">
        <x:v>深色短夹克＋暗色T恤＋牛仔裤＋旧运动鞋；佩戴细银链</x:v>
      </x:c>
      <x:c r="E15" s="57" t="str">
        <x:v>E01、E05、E09、E18、E19、E20、E21、E29</x:v>
      </x:c>
      <x:c r="F15" s="57" t="str">
        <x:v>P0</x:v>
      </x:c>
      <x:c r="G15" s="57" t="str">
        <x:v>待生成</x:v>
      </x:c>
      <x:c r="H15" s="57" t="str">
        <x:v>人物资产</x:v>
      </x:c>
    </x:row>
    <x:row r="16" ht="42" customHeight="1">
      <x:c r="A16" s="57" t="str">
        <x:v>LOOK-FRK-01</x:v>
      </x:c>
      <x:c r="B16" s="57" t="str">
        <x:v>Frank DeLuca｜驼色外套·体面日常</x:v>
      </x:c>
      <x:c r="C16" s="57" t="str">
        <x:v>人物</x:v>
      </x:c>
      <x:c r="D16" s="57" t="str">
        <x:v>驼色/深棕羊毛外套＋蓝灰衬衫＋深色长裤＋整洁皮鞋</x:v>
      </x:c>
      <x:c r="E16" s="57" t="str">
        <x:v>E06、E22、E23、E24、E25、E26、E27</x:v>
      </x:c>
      <x:c r="F16" s="57" t="str">
        <x:v>P0</x:v>
      </x:c>
      <x:c r="G16" s="57" t="str">
        <x:v>待生成</x:v>
      </x:c>
      <x:c r="H16" s="57" t="str">
        <x:v>人物资产</x:v>
      </x:c>
    </x:row>
    <x:row r="17" ht="42" customHeight="1">
      <x:c r="A17" s="57" t="str">
        <x:v>LOOK-FRK-02</x:v>
      </x:c>
      <x:c r="B17" s="57" t="str">
        <x:v>Frank DeLuca｜疗养院浅灰西装</x:v>
      </x:c>
      <x:c r="C17" s="57" t="str">
        <x:v>人物</x:v>
      </x:c>
      <x:c r="D17" s="57" t="str">
        <x:v>浅灰西装夹克＋柔蓝衬衫＋深色长裤</x:v>
      </x:c>
      <x:c r="E17" s="57" t="str">
        <x:v>E13</x:v>
      </x:c>
      <x:c r="F17" s="57" t="str">
        <x:v>P0</x:v>
      </x:c>
      <x:c r="G17" s="57" t="str">
        <x:v>待生成</x:v>
      </x:c>
      <x:c r="H17" s="57" t="str">
        <x:v>人物资产</x:v>
      </x:c>
    </x:row>
    <x:row r="18" ht="42" customHeight="1">
      <x:c r="A18" s="57" t="str">
        <x:v>LOOK-FRK-05</x:v>
      </x:c>
      <x:c r="B18" s="57" t="str">
        <x:v>Frank DeLuca｜1989年轻警探档案版</x:v>
      </x:c>
      <x:c r="C18" s="57" t="str">
        <x:v>人物</x:v>
      </x:c>
      <x:c r="D18" s="57" t="str">
        <x:v>1989深色便服西装/风衣＋衬衫＋领带</x:v>
      </x:c>
      <x:c r="E18" s="57" t="str">
        <x:v>E03、E11、E16、E17、E28</x:v>
      </x:c>
      <x:c r="F18" s="57" t="str">
        <x:v>P1</x:v>
      </x:c>
      <x:c r="G18" s="57" t="str">
        <x:v>待生成</x:v>
      </x:c>
      <x:c r="H18" s="57" t="str">
        <x:v>人物资产</x:v>
      </x:c>
    </x:row>
    <x:row r="19" ht="42" customHeight="1">
      <x:c r="A19" s="57" t="str">
        <x:v>LOOK-DAN-01</x:v>
      </x:c>
      <x:c r="B19" s="57" t="str">
        <x:v>Daniel DeLuca｜港口维修工作造型</x:v>
      </x:c>
      <x:c r="C19" s="57" t="str">
        <x:v>人物</x:v>
      </x:c>
      <x:c r="D19" s="57" t="str">
        <x:v>海军蓝工装外套/反光背心＋工作衬衫＋工装裤＋工装靴</x:v>
      </x:c>
      <x:c r="E19" s="57" t="str">
        <x:v>E15、E19</x:v>
      </x:c>
      <x:c r="F19" s="57" t="str">
        <x:v>P0</x:v>
      </x:c>
      <x:c r="G19" s="57" t="str">
        <x:v>待生成</x:v>
      </x:c>
      <x:c r="H19" s="57" t="str">
        <x:v>人物资产</x:v>
      </x:c>
    </x:row>
    <x:row r="20" ht="42" customHeight="1">
      <x:c r="A20" s="57" t="str">
        <x:v>LOOK-DAN-02</x:v>
      </x:c>
      <x:c r="B20" s="57" t="str">
        <x:v>Daniel DeLuca｜讯问室去外套版</x:v>
      </x:c>
      <x:c r="C20" s="57" t="str">
        <x:v>人物</x:v>
      </x:c>
      <x:c r="D20" s="57" t="str">
        <x:v>深蓝工作衬衫＋工装裤，去掉外套与反光背心</x:v>
      </x:c>
      <x:c r="E20" s="57" t="str">
        <x:v>E20、E21</x:v>
      </x:c>
      <x:c r="F20" s="57" t="str">
        <x:v>P0</x:v>
      </x:c>
      <x:c r="G20" s="57" t="str">
        <x:v>待生成</x:v>
      </x:c>
      <x:c r="H20" s="57" t="str">
        <x:v>人物资产</x:v>
      </x:c>
    </x:row>
    <x:row r="21" ht="42" customHeight="1">
      <x:c r="A21" s="57" t="str">
        <x:v>LOOK-RAY-01</x:v>
      </x:c>
      <x:c r="B21" s="57" t="str">
        <x:v>Detective Ray Callahan｜港口防水警探造型</x:v>
      </x:c>
      <x:c r="C21" s="57" t="str">
        <x:v>人物</x:v>
      </x:c>
      <x:c r="D21" s="57" t="str">
        <x:v>深色防水便服外套＋深色长裤＋警探证件</x:v>
      </x:c>
      <x:c r="E21" s="57" t="str">
        <x:v>E01</x:v>
      </x:c>
      <x:c r="F21" s="57" t="str">
        <x:v>P0</x:v>
      </x:c>
      <x:c r="G21" s="57" t="str">
        <x:v>待生成</x:v>
      </x:c>
      <x:c r="H21" s="57" t="str">
        <x:v>人物资产</x:v>
      </x:c>
    </x:row>
    <x:row r="22" ht="42" customHeight="1">
      <x:c r="A22" s="57" t="str">
        <x:v>LOOK-RAY-02</x:v>
      </x:c>
      <x:c r="B22" s="57" t="str">
        <x:v>Detective Ray Callahan｜日常便服警探/监听行动</x:v>
      </x:c>
      <x:c r="C22" s="57" t="str">
        <x:v>人物</x:v>
      </x:c>
      <x:c r="D22" s="57" t="str">
        <x:v>深蓝西装外套/便服夹克＋白或浅蓝衬衫＋深色长裤</x:v>
      </x:c>
      <x:c r="E22" s="57" t="str">
        <x:v>E02、E12、E14、E18、E19、E24、E25、E26、E27、E28</x:v>
      </x:c>
      <x:c r="F22" s="57" t="str">
        <x:v>P0</x:v>
      </x:c>
      <x:c r="G22" s="57" t="str">
        <x:v>待生成</x:v>
      </x:c>
      <x:c r="H22" s="57" t="str">
        <x:v>人物资产</x:v>
      </x:c>
    </x:row>
    <x:row r="23" ht="42" customHeight="1">
      <x:c r="A23" s="57" t="str">
        <x:v>LOOK-RAY-03</x:v>
      </x:c>
      <x:c r="B23" s="57" t="str">
        <x:v>Detective Ray Callahan｜讯问室卷袖版</x:v>
      </x:c>
      <x:c r="C23" s="57" t="str">
        <x:v>人物</x:v>
      </x:c>
      <x:c r="D23" s="57" t="str">
        <x:v>浅色衬衫卷袖＋松领带＋深色长裤</x:v>
      </x:c>
      <x:c r="E23" s="57" t="str">
        <x:v>E20、E21</x:v>
      </x:c>
      <x:c r="F23" s="57" t="str">
        <x:v>P0</x:v>
      </x:c>
      <x:c r="G23" s="57" t="str">
        <x:v>待生成</x:v>
      </x:c>
      <x:c r="H23" s="57" t="str">
        <x:v>人物资产</x:v>
      </x:c>
    </x:row>
    <x:row r="24" ht="42" customHeight="1">
      <x:c r="A24" s="57" t="str">
        <x:v>LOOK-SUS-01</x:v>
      </x:c>
      <x:c r="B24" s="57" t="str">
        <x:v>Susan Bennett｜家中厨房造型</x:v>
      </x:c>
      <x:c r="C24" s="57" t="str">
        <x:v>人物</x:v>
      </x:c>
      <x:c r="D24" s="57" t="str">
        <x:v>米色针织衫＋素色长裤＋居家平底鞋</x:v>
      </x:c>
      <x:c r="E24" s="57" t="str">
        <x:v>E02</x:v>
      </x:c>
      <x:c r="F24" s="57" t="str">
        <x:v>P1</x:v>
      </x:c>
      <x:c r="G24" s="57" t="str">
        <x:v>待生成</x:v>
      </x:c>
      <x:c r="H24" s="57" t="str">
        <x:v>人物资产</x:v>
      </x:c>
    </x:row>
    <x:row r="25" ht="42" customHeight="1">
      <x:c r="A25" s="57" t="str">
        <x:v>LOOK-SUS-02</x:v>
      </x:c>
      <x:c r="B25" s="57" t="str">
        <x:v>Susan Bennett｜检察官办公室正式便装</x:v>
      </x:c>
      <x:c r="C25" s="57" t="str">
        <x:v>人物</x:v>
      </x:c>
      <x:c r="D25" s="57" t="str">
        <x:v>米色大衣/开衫＋浅色上衣＋深色长裤</x:v>
      </x:c>
      <x:c r="E25" s="57" t="str">
        <x:v>E28</x:v>
      </x:c>
      <x:c r="F25" s="57" t="str">
        <x:v>P1</x:v>
      </x:c>
      <x:c r="G25" s="57" t="str">
        <x:v>待生成</x:v>
      </x:c>
      <x:c r="H25" s="57" t="str">
        <x:v>人物资产</x:v>
      </x:c>
    </x:row>
    <x:row r="26" ht="42" customHeight="1">
      <x:c r="A26" s="57" t="str">
        <x:v>LOOK-EDD-01</x:v>
      </x:c>
      <x:c r="B26" s="57" t="str">
        <x:v>Eddie Caruso｜出租屋老年版</x:v>
      </x:c>
      <x:c r="C26" s="57" t="str">
        <x:v>人物</x:v>
      </x:c>
      <x:c r="D26" s="57" t="str">
        <x:v>褪色旧夹克/开衫＋素T恤＋旧长裤</x:v>
      </x:c>
      <x:c r="E26" s="57" t="str">
        <x:v>E08、E16</x:v>
      </x:c>
      <x:c r="F26" s="57" t="str">
        <x:v>P1</x:v>
      </x:c>
      <x:c r="G26" s="57" t="str">
        <x:v>待生成</x:v>
      </x:c>
      <x:c r="H26" s="57" t="str">
        <x:v>人物资产</x:v>
      </x:c>
    </x:row>
    <x:row r="27" ht="42" customHeight="1">
      <x:c r="A27" s="57" t="str">
        <x:v>LOOK-EDD-02</x:v>
      </x:c>
      <x:c r="B27" s="57" t="str">
        <x:v>Eddie Caruso｜1989劫匪档案照片</x:v>
      </x:c>
      <x:c r="C27" s="57" t="str">
        <x:v>人物</x:v>
      </x:c>
      <x:c r="D27" s="57" t="str">
        <x:v>1989年廉价夹克＋格纹衬衫；档案号牌可选</x:v>
      </x:c>
      <x:c r="E27" s="57" t="str">
        <x:v>E03、E08、E16</x:v>
      </x:c>
      <x:c r="F27" s="57" t="str">
        <x:v>P2</x:v>
      </x:c>
      <x:c r="G27" s="57" t="str">
        <x:v>待生成</x:v>
      </x:c>
      <x:c r="H27" s="57" t="str">
        <x:v>人物资产</x:v>
      </x:c>
    </x:row>
    <x:row r="28" ht="42" customHeight="1">
      <x:c r="A28" s="57" t="str">
        <x:v>LOOK-HAR-01</x:v>
      </x:c>
      <x:c r="B28" s="57" t="str">
        <x:v>M. Harlan｜修车厂工作造型</x:v>
      </x:c>
      <x:c r="C28" s="57" t="str">
        <x:v>人物</x:v>
      </x:c>
      <x:c r="D28" s="57" t="str">
        <x:v>旧工装外套＋格纹衬衫＋工装裤＋工装靴</x:v>
      </x:c>
      <x:c r="E28" s="57" t="str">
        <x:v>E07</x:v>
      </x:c>
      <x:c r="F28" s="57" t="str">
        <x:v>P2</x:v>
      </x:c>
      <x:c r="G28" s="57" t="str">
        <x:v>待生成</x:v>
      </x:c>
      <x:c r="H28" s="57" t="str">
        <x:v>人物资产</x:v>
      </x:c>
    </x:row>
    <x:row r="29" ht="42" customHeight="1">
      <x:c r="A29" s="57" t="str">
        <x:v>LOOK-ROS-01</x:v>
      </x:c>
      <x:c r="B29" s="57" t="str">
        <x:v>Rossi餐厅老板｜餐厅老板工作造型</x:v>
      </x:c>
      <x:c r="C29" s="57" t="str">
        <x:v>人物</x:v>
      </x:c>
      <x:c r="D29" s="57" t="str">
        <x:v>深色围裙＋卷袖衬衫＋深色长裤＋防滑鞋</x:v>
      </x:c>
      <x:c r="E29" s="57" t="str">
        <x:v>E10、E19</x:v>
      </x:c>
      <x:c r="F29" s="57" t="str">
        <x:v>P1</x:v>
      </x:c>
      <x:c r="G29" s="57" t="str">
        <x:v>待生成</x:v>
      </x:c>
      <x:c r="H29" s="57" t="str">
        <x:v>人物资产</x:v>
      </x:c>
    </x:row>
    <x:row r="30" ht="42" customHeight="1">
      <x:c r="A30" s="57" t="str">
        <x:v>LOOK-WID-01</x:v>
      </x:c>
      <x:c r="B30" s="57" t="str">
        <x:v>Doyle遗孀｜疗养院常服</x:v>
      </x:c>
      <x:c r="C30" s="57" t="str">
        <x:v>人物</x:v>
      </x:c>
      <x:c r="D30" s="57" t="str">
        <x:v>浅灰针织开衫＋素色病号便装＋软底鞋</x:v>
      </x:c>
      <x:c r="E30" s="57" t="str">
        <x:v>E12、E13</x:v>
      </x:c>
      <x:c r="F30" s="57" t="str">
        <x:v>P2</x:v>
      </x:c>
      <x:c r="G30" s="57" t="str">
        <x:v>待生成</x:v>
      </x:c>
      <x:c r="H30" s="57" t="str">
        <x:v>人物资产</x:v>
      </x:c>
    </x:row>
    <x:row r="31" ht="42" customHeight="1">
      <x:c r="A31" s="57" t="str">
        <x:v>LOOK-DOY-01</x:v>
      </x:c>
      <x:c r="B31" s="57" t="str">
        <x:v>Franklin Doyle｜1989银行保安档案版</x:v>
      </x:c>
      <x:c r="C31" s="57" t="str">
        <x:v>人物</x:v>
      </x:c>
      <x:c r="D31" s="57" t="str">
        <x:v>1989银行保安制服＋帽章＋名牌</x:v>
      </x:c>
      <x:c r="E31" s="57" t="str">
        <x:v>E12</x:v>
      </x:c>
      <x:c r="F31" s="57" t="str">
        <x:v>P2</x:v>
      </x:c>
      <x:c r="G31" s="57" t="str">
        <x:v>待生成</x:v>
      </x:c>
      <x:c r="H31" s="57" t="str">
        <x:v>人物资产</x:v>
      </x:c>
    </x:row>
    <x:row r="32" ht="42" customHeight="1">
      <x:c r="A32" s="57" t="str">
        <x:v>LOOK-LEO-01</x:v>
      </x:c>
      <x:c r="B32" s="57" t="str">
        <x:v>Leo DeLuca｜1989县警副手档案版</x:v>
      </x:c>
      <x:c r="C32" s="57" t="str">
        <x:v>人物</x:v>
      </x:c>
      <x:c r="D32" s="57" t="str">
        <x:v>1989县警制服＋肩章＋徽章＋装备腰带</x:v>
      </x:c>
      <x:c r="E32" s="57" t="str">
        <x:v>E16</x:v>
      </x:c>
      <x:c r="F32" s="57" t="str">
        <x:v>P2</x:v>
      </x:c>
      <x:c r="G32" s="57" t="str">
        <x:v>待生成</x:v>
      </x:c>
      <x:c r="H32" s="57" t="str">
        <x:v>人物资产</x:v>
      </x:c>
    </x:row>
    <x:row r="33" ht="42" customHeight="1">
      <x:c r="A33" s="57" t="str">
        <x:v>SCN-001</x:v>
      </x:c>
      <x:c r="B33" s="57" t="str">
        <x:v>灰港港口·九号码头</x:v>
      </x:c>
      <x:c r="C33" s="57" t="str">
        <x:v>场景</x:v>
      </x:c>
      <x:c r="D33" s="57" t="str">
        <x:v>宾州海港小镇工业码头；黑水、锈红栏杆、金属梯、维修灯、远处仓库</x:v>
      </x:c>
      <x:c r="E33" s="57" t="str">
        <x:v>E01、E15、E19-E21、E30</x:v>
      </x:c>
      <x:c r="F33" s="57" t="str">
        <x:v>P0</x:v>
      </x:c>
      <x:c r="G33" s="57" t="str">
        <x:v>待生成</x:v>
      </x:c>
      <x:c r="H33" s="57" t="str">
        <x:v>场景资产</x:v>
      </x:c>
    </x:row>
    <x:row r="34" ht="42" customHeight="1">
      <x:c r="A34" s="57" t="str">
        <x:v>SCN-002</x:v>
      </x:c>
      <x:c r="B34" s="57" t="str">
        <x:v>Claire公寓·客厅/卧室</x:v>
      </x:c>
      <x:c r="C34" s="57" t="str">
        <x:v>场景</x:v>
      </x:c>
      <x:c r="D34" s="57" t="str">
        <x:v>普通年轻女性租住公寓，温暖但不富裕；Megan生活痕迹逐步减少</x:v>
      </x:c>
      <x:c r="E34" s="57" t="str">
        <x:v>E01、E29</x:v>
      </x:c>
      <x:c r="F34" s="57" t="str">
        <x:v>P0</x:v>
      </x:c>
      <x:c r="G34" s="57" t="str">
        <x:v>待生成</x:v>
      </x:c>
      <x:c r="H34" s="57" t="str">
        <x:v>场景资产</x:v>
      </x:c>
    </x:row>
    <x:row r="35" ht="42" customHeight="1">
      <x:c r="A35" s="57" t="str">
        <x:v>SCN-003</x:v>
      </x:c>
      <x:c r="B35" s="57" t="str">
        <x:v>Susan家·厨房</x:v>
      </x:c>
      <x:c r="C35" s="57" t="str">
        <x:v>场景</x:v>
      </x:c>
      <x:c r="D35" s="57" t="str">
        <x:v>普通中产厨房，家庭感、暖黄灯，承载三代关系</x:v>
      </x:c>
      <x:c r="E35" s="57" t="str">
        <x:v>E02</x:v>
      </x:c>
      <x:c r="F35" s="57" t="str">
        <x:v>P1</x:v>
      </x:c>
      <x:c r="G35" s="57" t="str">
        <x:v>待生成</x:v>
      </x:c>
      <x:c r="H35" s="57" t="str">
        <x:v>场景资产</x:v>
      </x:c>
    </x:row>
    <x:row r="36" ht="42" customHeight="1">
      <x:c r="A36" s="57" t="str">
        <x:v>SCN-004</x:v>
      </x:c>
      <x:c r="B36" s="57" t="str">
        <x:v>Dot家·书房</x:v>
      </x:c>
      <x:c r="C36" s="57" t="str">
        <x:v>场景</x:v>
      </x:c>
      <x:c r="D36" s="57" t="str">
        <x:v>老警探的秩序感：木书桌、整齐旧案卷、文件柜、老照片、台灯</x:v>
      </x:c>
      <x:c r="E36" s="57" t="str">
        <x:v>E03、E11</x:v>
      </x:c>
      <x:c r="F36" s="57" t="str">
        <x:v>P0</x:v>
      </x:c>
      <x:c r="G36" s="57" t="str">
        <x:v>待生成</x:v>
      </x:c>
      <x:c r="H36" s="57" t="str">
        <x:v>场景资产</x:v>
      </x:c>
    </x:row>
    <x:row r="37" ht="42" customHeight="1">
      <x:c r="A37" s="57" t="str">
        <x:v>SCN-005</x:v>
      </x:c>
      <x:c r="B37" s="57" t="str">
        <x:v>Dot家·客厅/厨房/门廊</x:v>
      </x:c>
      <x:c r="C37" s="57" t="str">
        <x:v>场景</x:v>
      </x:c>
      <x:c r="D37" s="57" t="str">
        <x:v>朴素老宅，旧木与褪色布艺；门廊可拍威胁对话</x:v>
      </x:c>
      <x:c r="E37" s="57" t="str">
        <x:v>E06、E17、E23、E29</x:v>
      </x:c>
      <x:c r="F37" s="57" t="str">
        <x:v>P0</x:v>
      </x:c>
      <x:c r="G37" s="57" t="str">
        <x:v>待生成</x:v>
      </x:c>
      <x:c r="H37" s="57" t="str">
        <x:v>场景资产</x:v>
      </x:c>
    </x:row>
    <x:row r="38" ht="42" customHeight="1">
      <x:c r="A38" s="57" t="str">
        <x:v>SCN-006</x:v>
      </x:c>
      <x:c r="B38" s="57" t="str">
        <x:v>旧货运场·Freight 214储物柜</x:v>
      </x:c>
      <x:c r="C38" s="57" t="str">
        <x:v>场景</x:v>
      </x:c>
      <x:c r="D38" s="57" t="str">
        <x:v>废弃货运场，铁门、灰尘、红色铁锈粉、远处火车；214标识醒目</x:v>
      </x:c>
      <x:c r="E38" s="57" t="str">
        <x:v>E04</x:v>
      </x:c>
      <x:c r="F38" s="57" t="str">
        <x:v>P0</x:v>
      </x:c>
      <x:c r="G38" s="57" t="str">
        <x:v>待生成</x:v>
      </x:c>
      <x:c r="H38" s="57" t="str">
        <x:v>场景资产</x:v>
      </x:c>
    </x:row>
    <x:row r="39" ht="42" customHeight="1">
      <x:c r="A39" s="57" t="str">
        <x:v>SCN-007</x:v>
      </x:c>
      <x:c r="B39" s="57" t="str">
        <x:v>Megan公寓</x:v>
      </x:c>
      <x:c r="C39" s="57" t="str">
        <x:v>场景</x:v>
      </x:c>
      <x:c r="D39" s="57" t="str">
        <x:v>被重新整理得过分整齐；抽屉、松动踢脚线和隐藏夹层</x:v>
      </x:c>
      <x:c r="E39" s="57" t="str">
        <x:v>E05</x:v>
      </x:c>
      <x:c r="F39" s="57" t="str">
        <x:v>P1</x:v>
      </x:c>
      <x:c r="G39" s="57" t="str">
        <x:v>待生成</x:v>
      </x:c>
      <x:c r="H39" s="57" t="str">
        <x:v>场景资产</x:v>
      </x:c>
    </x:row>
    <x:row r="40" ht="42" customHeight="1">
      <x:c r="A40" s="57" t="str">
        <x:v>SCN-008</x:v>
      </x:c>
      <x:c r="B40" s="57" t="str">
        <x:v>宾州小镇修车厂</x:v>
      </x:c>
      <x:c r="C40" s="57" t="str">
        <x:v>场景</x:v>
      </x:c>
      <x:c r="D40" s="57" t="str">
        <x:v>阴天小镇修车厂，油污、卷帘门、旧办公室</x:v>
      </x:c>
      <x:c r="E40" s="57" t="str">
        <x:v>E07</x:v>
      </x:c>
      <x:c r="F40" s="57" t="str">
        <x:v>P2</x:v>
      </x:c>
      <x:c r="G40" s="57" t="str">
        <x:v>待生成</x:v>
      </x:c>
      <x:c r="H40" s="57" t="str">
        <x:v>场景资产</x:v>
      </x:c>
    </x:row>
    <x:row r="41" ht="42" customHeight="1">
      <x:c r="A41" s="57" t="str">
        <x:v>SCN-009</x:v>
      </x:c>
      <x:c r="B41" s="57" t="str">
        <x:v>Eddie出租屋·厨房/客厅</x:v>
      </x:c>
      <x:c r="C41" s="57" t="str">
        <x:v>场景</x:v>
      </x:c>
      <x:c r="D41" s="57" t="str">
        <x:v>狭小老旧出租屋，药瓶、收音机、旧家具；贫困但整洁</x:v>
      </x:c>
      <x:c r="E41" s="57" t="str">
        <x:v>E08、E16</x:v>
      </x:c>
      <x:c r="F41" s="57" t="str">
        <x:v>P1</x:v>
      </x:c>
      <x:c r="G41" s="57" t="str">
        <x:v>待生成</x:v>
      </x:c>
      <x:c r="H41" s="57" t="str">
        <x:v>场景资产</x:v>
      </x:c>
    </x:row>
    <x:row r="42" ht="42" customHeight="1">
      <x:c r="A42" s="57" t="str">
        <x:v>SCN-010</x:v>
      </x:c>
      <x:c r="B42" s="57" t="str">
        <x:v>Claire车内/超市停车场</x:v>
      </x:c>
      <x:c r="C42" s="57" t="str">
        <x:v>场景</x:v>
      </x:c>
      <x:c r="D42" s="57" t="str">
        <x:v>普通旧轿车；夜间停车场冷白灯，车内中控和后视镜可拍特写</x:v>
      </x:c>
      <x:c r="E42" s="57" t="str">
        <x:v>E09、E14</x:v>
      </x:c>
      <x:c r="F42" s="57" t="str">
        <x:v>P0</x:v>
      </x:c>
      <x:c r="G42" s="57" t="str">
        <x:v>待生成</x:v>
      </x:c>
      <x:c r="H42" s="57" t="str">
        <x:v>场景资产</x:v>
      </x:c>
    </x:row>
    <x:row r="43" ht="42" customHeight="1">
      <x:c r="A43" s="57" t="str">
        <x:v>SCN-011</x:v>
      </x:c>
      <x:c r="B43" s="57" t="str">
        <x:v>Rossi老餐厅·前厅卡座</x:v>
      </x:c>
      <x:c r="C43" s="57" t="str">
        <x:v>场景</x:v>
      </x:c>
      <x:c r="D43" s="57" t="str">
        <x:v>老式社区餐厅：深色木、红棕卡座、点唱机、最里面卡座、街窗</x:v>
      </x:c>
      <x:c r="E43" s="57" t="str">
        <x:v>E10、E19、E25-E27</x:v>
      </x:c>
      <x:c r="F43" s="57" t="str">
        <x:v>P0</x:v>
      </x:c>
      <x:c r="G43" s="57" t="str">
        <x:v>待生成</x:v>
      </x:c>
      <x:c r="H43" s="57" t="str">
        <x:v>场景资产</x:v>
      </x:c>
    </x:row>
    <x:row r="44" ht="42" customHeight="1">
      <x:c r="A44" s="57" t="str">
        <x:v>SCN-012</x:v>
      </x:c>
      <x:c r="B44" s="57" t="str">
        <x:v>Rossi老餐厅·后厨/外墙监控位</x:v>
      </x:c>
      <x:c r="C44" s="57" t="str">
        <x:v>场景</x:v>
      </x:c>
      <x:c r="D44" s="57" t="str">
        <x:v>旧餐厅后厨、监控主机位、后门与街角外摄像头视角</x:v>
      </x:c>
      <x:c r="E44" s="57" t="str">
        <x:v>E10、E19</x:v>
      </x:c>
      <x:c r="F44" s="57" t="str">
        <x:v>P1</x:v>
      </x:c>
      <x:c r="G44" s="57" t="str">
        <x:v>待生成</x:v>
      </x:c>
      <x:c r="H44" s="57" t="str">
        <x:v>场景资产</x:v>
      </x:c>
    </x:row>
    <x:row r="45" ht="42" customHeight="1">
      <x:c r="A45" s="57" t="str">
        <x:v>SCN-013</x:v>
      </x:c>
      <x:c r="B45" s="57" t="str">
        <x:v>警局·走廊/证物交接区</x:v>
      </x:c>
      <x:c r="C45" s="57" t="str">
        <x:v>场景</x:v>
      </x:c>
      <x:c r="D45" s="57" t="str">
        <x:v>县警局现实办公质感，冷灰、荧光灯、塑料椅、公告板</x:v>
      </x:c>
      <x:c r="E45" s="57" t="str">
        <x:v>E02、E20-E21</x:v>
      </x:c>
      <x:c r="F45" s="57" t="str">
        <x:v>P0</x:v>
      </x:c>
      <x:c r="G45" s="57" t="str">
        <x:v>待生成</x:v>
      </x:c>
      <x:c r="H45" s="57" t="str">
        <x:v>场景资产</x:v>
      </x:c>
    </x:row>
    <x:row r="46" ht="42" customHeight="1">
      <x:c r="A46" s="57" t="str">
        <x:v>SCN-014</x:v>
      </x:c>
      <x:c r="B46" s="57" t="str">
        <x:v>警局·讯问室/单向观察室</x:v>
      </x:c>
      <x:c r="C46" s="57" t="str">
        <x:v>场景</x:v>
      </x:c>
      <x:c r="D46" s="57" t="str">
        <x:v>简洁讯问桌、固定摄像头、单向玻璃，压迫但不过度电影化</x:v>
      </x:c>
      <x:c r="E46" s="57" t="str">
        <x:v>E20-E21</x:v>
      </x:c>
      <x:c r="F46" s="57" t="str">
        <x:v>P0</x:v>
      </x:c>
      <x:c r="G46" s="57" t="str">
        <x:v>待生成</x:v>
      </x:c>
      <x:c r="H46" s="57" t="str">
        <x:v>场景资产</x:v>
      </x:c>
    </x:row>
    <x:row r="47" ht="42" customHeight="1">
      <x:c r="A47" s="57" t="str">
        <x:v>SCN-015</x:v>
      </x:c>
      <x:c r="B47" s="57" t="str">
        <x:v>县档案馆</x:v>
      </x:c>
      <x:c r="C47" s="57" t="str">
        <x:v>场景</x:v>
      </x:c>
      <x:c r="D47" s="57" t="str">
        <x:v>旧档案架、阅卷桌、纸质卷宗与扫描设备</x:v>
      </x:c>
      <x:c r="E47" s="57" t="str">
        <x:v>E12</x:v>
      </x:c>
      <x:c r="F47" s="57" t="str">
        <x:v>P1</x:v>
      </x:c>
      <x:c r="G47" s="57" t="str">
        <x:v>待生成</x:v>
      </x:c>
      <x:c r="H47" s="57" t="str">
        <x:v>场景资产</x:v>
      </x:c>
    </x:row>
    <x:row r="48" ht="42" customHeight="1">
      <x:c r="A48" s="57" t="str">
        <x:v>SCN-016</x:v>
      </x:c>
      <x:c r="B48" s="57" t="str">
        <x:v>疗养院会客室</x:v>
      </x:c>
      <x:c r="C48" s="57" t="str">
        <x:v>场景</x:v>
      </x:c>
      <x:c r="D48" s="57" t="str">
        <x:v>明亮安静、玻璃隔断、淡色家具，表面善意与暗中控制并存</x:v>
      </x:c>
      <x:c r="E48" s="57" t="str">
        <x:v>E13</x:v>
      </x:c>
      <x:c r="F48" s="57" t="str">
        <x:v>P2</x:v>
      </x:c>
      <x:c r="G48" s="57" t="str">
        <x:v>待生成</x:v>
      </x:c>
      <x:c r="H48" s="57" t="str">
        <x:v>场景资产</x:v>
      </x:c>
    </x:row>
    <x:row r="49" ht="42" customHeight="1">
      <x:c r="A49" s="57" t="str">
        <x:v>SCN-017</x:v>
      </x:c>
      <x:c r="B49" s="57" t="str">
        <x:v>港口维修办公室</x:v>
      </x:c>
      <x:c r="C49" s="57" t="str">
        <x:v>场景</x:v>
      </x:c>
      <x:c r="D49" s="57" t="str">
        <x:v>工装办公室，维修图、值班表、金属桌、墙上门禁记录</x:v>
      </x:c>
      <x:c r="E49" s="57" t="str">
        <x:v>E15</x:v>
      </x:c>
      <x:c r="F49" s="57" t="str">
        <x:v>P1</x:v>
      </x:c>
      <x:c r="G49" s="57" t="str">
        <x:v>待生成</x:v>
      </x:c>
      <x:c r="H49" s="57" t="str">
        <x:v>场景资产</x:v>
      </x:c>
    </x:row>
    <x:row r="50" ht="42" customHeight="1">
      <x:c r="A50" s="57" t="str">
        <x:v>SCN-018</x:v>
      </x:c>
      <x:c r="B50" s="57" t="str">
        <x:v>县检察官数字实验室</x:v>
      </x:c>
      <x:c r="C50" s="57" t="str">
        <x:v>场景</x:v>
      </x:c>
      <x:c r="D50" s="57" t="str">
        <x:v>波形恢复工作站、双屏电脑、证据审查区，可信而非科幻</x:v>
      </x:c>
      <x:c r="E50" s="57" t="str">
        <x:v>E18</x:v>
      </x:c>
      <x:c r="F50" s="57" t="str">
        <x:v>P1</x:v>
      </x:c>
      <x:c r="G50" s="57" t="str">
        <x:v>待生成</x:v>
      </x:c>
      <x:c r="H50" s="57" t="str">
        <x:v>场景资产</x:v>
      </x:c>
    </x:row>
    <x:row r="51" ht="42" customHeight="1">
      <x:c r="A51" s="57" t="str">
        <x:v>SCN-019</x:v>
      </x:c>
      <x:c r="B51" s="57" t="str">
        <x:v>Frank旧车库/排水沟外侧</x:v>
      </x:c>
      <x:c r="C51" s="57" t="str">
        <x:v>场景</x:v>
      </x:c>
      <x:c r="D51" s="57" t="str">
        <x:v>旧独立车库、杂物、排水沟、可远距对峙；灰棕色调</x:v>
      </x:c>
      <x:c r="E51" s="57" t="str">
        <x:v>E22-E23</x:v>
      </x:c>
      <x:c r="F51" s="57" t="str">
        <x:v>P0</x:v>
      </x:c>
      <x:c r="G51" s="57" t="str">
        <x:v>待生成</x:v>
      </x:c>
      <x:c r="H51" s="57" t="str">
        <x:v>场景资产</x:v>
      </x:c>
    </x:row>
    <x:row r="52" ht="42" customHeight="1">
      <x:c r="A52" s="57" t="str">
        <x:v>SCN-020</x:v>
      </x:c>
      <x:c r="B52" s="57" t="str">
        <x:v>县检察官办公室/正式问询室</x:v>
      </x:c>
      <x:c r="C52" s="57" t="str">
        <x:v>场景</x:v>
      </x:c>
      <x:c r="D52" s="57" t="str">
        <x:v>务实办公室与录音问询桌，法律程序感</x:v>
      </x:c>
      <x:c r="E52" s="57" t="str">
        <x:v>E24、E28</x:v>
      </x:c>
      <x:c r="F52" s="57" t="str">
        <x:v>P1</x:v>
      </x:c>
      <x:c r="G52" s="57" t="str">
        <x:v>待生成</x:v>
      </x:c>
      <x:c r="H52" s="57" t="str">
        <x:v>场景资产</x:v>
      </x:c>
    </x:row>
    <x:row r="53" ht="42" customHeight="1">
      <x:c r="A53" s="57" t="str">
        <x:v>PROP-001</x:v>
      </x:c>
      <x:c r="B53" s="57" t="str">
        <x:v>Megan旧钥匙（FREIGHT 214）</x:v>
      </x:c>
      <x:c r="C53" s="57" t="str">
        <x:v>道具</x:v>
      </x:c>
      <x:c r="D53" s="57" t="str">
        <x:v>旧黄铜钥匙，齿纹或挂牌刻有FREIGHT 214</x:v>
      </x:c>
      <x:c r="E53" s="57" t="str">
        <x:v>E01-E05、E14</x:v>
      </x:c>
      <x:c r="F53" s="57" t="str">
        <x:v>P0</x:v>
      </x:c>
      <x:c r="G53" s="57" t="str">
        <x:v>待生成</x:v>
      </x:c>
      <x:c r="H53" s="57" t="str">
        <x:v>道具资产</x:v>
      </x:c>
    </x:row>
    <x:row r="54" ht="42" customHeight="1">
      <x:c r="A54" s="57" t="str">
        <x:v>PROP-002</x:v>
      </x:c>
      <x:c r="B54" s="57" t="str">
        <x:v>Megan银链</x:v>
      </x:c>
      <x:c r="C54" s="57" t="str">
        <x:v>道具</x:v>
      </x:c>
      <x:c r="D54" s="57" t="str">
        <x:v>细银链，简洁日常款，长期佩戴</x:v>
      </x:c>
      <x:c r="E54" s="57" t="str">
        <x:v>E01、E15、E22</x:v>
      </x:c>
      <x:c r="F54" s="57" t="str">
        <x:v>P0</x:v>
      </x:c>
      <x:c r="G54" s="57" t="str">
        <x:v>待生成</x:v>
      </x:c>
      <x:c r="H54" s="57" t="str">
        <x:v>道具资产</x:v>
      </x:c>
    </x:row>
    <x:row r="55" ht="42" customHeight="1">
      <x:c r="A55" s="57" t="str">
        <x:v>PROP-003</x:v>
      </x:c>
      <x:c r="B55" s="57" t="str">
        <x:v>1989银行抢劫案卷</x:v>
      </x:c>
      <x:c r="C55" s="57" t="str">
        <x:v>道具</x:v>
      </x:c>
      <x:c r="D55" s="57" t="str">
        <x:v>泛黄卷宗、封面标签、Dot与Frank年轻合影</x:v>
      </x:c>
      <x:c r="E55" s="57" t="str">
        <x:v>E03、E11、E17、E28</x:v>
      </x:c>
      <x:c r="F55" s="57" t="str">
        <x:v>P0</x:v>
      </x:c>
      <x:c r="G55" s="57" t="str">
        <x:v>待生成</x:v>
      </x:c>
      <x:c r="H55" s="57" t="str">
        <x:v>道具资产</x:v>
      </x:c>
    </x:row>
    <x:row r="56" ht="42" customHeight="1">
      <x:c r="A56" s="57" t="str">
        <x:v>PROP-004</x:v>
      </x:c>
      <x:c r="B56" s="57" t="str">
        <x:v>银行封条照片</x:v>
      </x:c>
      <x:c r="C56" s="57" t="str">
        <x:v>道具</x:v>
      </x:c>
      <x:c r="D56" s="57" t="str">
        <x:v>旧拍立得/冲印照，银行封条特写，背写Ask Eddie why Frank lied.</x:v>
      </x:c>
      <x:c r="E56" s="57" t="str">
        <x:v>E04、E08</x:v>
      </x:c>
      <x:c r="F56" s="57" t="str">
        <x:v>P0</x:v>
      </x:c>
      <x:c r="G56" s="57" t="str">
        <x:v>待生成</x:v>
      </x:c>
      <x:c r="H56" s="57" t="str">
        <x:v>道具资产</x:v>
      </x:c>
    </x:row>
    <x:row r="57" ht="42" customHeight="1">
      <x:c r="A57" s="57" t="str">
        <x:v>PROP-005</x:v>
      </x:c>
      <x:c r="B57" s="57" t="str">
        <x:v>Megan未寄出的信</x:v>
      </x:c>
      <x:c r="C57" s="57" t="str">
        <x:v>道具</x:v>
      </x:c>
      <x:c r="D57" s="57" t="str">
        <x:v>给Claire的手写信，含“不是Eddie”与M. Harlan地址</x:v>
      </x:c>
      <x:c r="E57" s="57" t="str">
        <x:v>E05-E07</x:v>
      </x:c>
      <x:c r="F57" s="57" t="str">
        <x:v>P0</x:v>
      </x:c>
      <x:c r="G57" s="57" t="str">
        <x:v>待生成</x:v>
      </x:c>
      <x:c r="H57" s="57" t="str">
        <x:v>道具资产</x:v>
      </x:c>
    </x:row>
    <x:row r="58" ht="42" customHeight="1">
      <x:c r="A58" s="57" t="str">
        <x:v>PROP-006</x:v>
      </x:c>
      <x:c r="B58" s="57" t="str">
        <x:v>烧焦账页</x:v>
      </x:c>
      <x:c r="C58" s="57" t="str">
        <x:v>道具</x:v>
      </x:c>
      <x:c r="D58" s="57" t="str">
        <x:v>三笔私人贷款合计1,800,000美元，放款人缩写F.D.，背面写Caruso never got the deal</x:v>
      </x:c>
      <x:c r="E58" s="57" t="str">
        <x:v>E07、E12、E24、E28</x:v>
      </x:c>
      <x:c r="F58" s="57" t="str">
        <x:v>P0</x:v>
      </x:c>
      <x:c r="G58" s="57" t="str">
        <x:v>待生成</x:v>
      </x:c>
      <x:c r="H58" s="57" t="str">
        <x:v>道具资产</x:v>
      </x:c>
    </x:row>
    <x:row r="59" ht="42" customHeight="1">
      <x:c r="A59" s="57" t="str">
        <x:v>PROP-007</x:v>
      </x:c>
      <x:c r="B59" s="57" t="str">
        <x:v>Eddie旧录音机</x:v>
      </x:c>
      <x:c r="C59" s="57" t="str">
        <x:v>道具</x:v>
      </x:c>
      <x:c r="D59" s="57" t="str">
        <x:v>1980年代便携卡带录音机，磨损但可工作</x:v>
      </x:c>
      <x:c r="E59" s="57" t="str">
        <x:v>E16</x:v>
      </x:c>
      <x:c r="F59" s="57" t="str">
        <x:v>P1</x:v>
      </x:c>
      <x:c r="G59" s="57" t="str">
        <x:v>待生成</x:v>
      </x:c>
      <x:c r="H59" s="57" t="str">
        <x:v>道具资产</x:v>
      </x:c>
    </x:row>
    <x:row r="60" ht="42" customHeight="1">
      <x:c r="A60" s="57" t="str">
        <x:v>PROP-008</x:v>
      </x:c>
      <x:c r="B60" s="57" t="str">
        <x:v>Megan手机</x:v>
      </x:c>
      <x:c r="C60" s="57" t="str">
        <x:v>道具</x:v>
      </x:c>
      <x:c r="D60" s="57" t="str">
        <x:v>现代智能手机：聊天、云端录音、定位、未发语音</x:v>
      </x:c>
      <x:c r="E60" s="57" t="str">
        <x:v>E01、E09、E18、E20-E21、E29</x:v>
      </x:c>
      <x:c r="F60" s="57" t="str">
        <x:v>P0</x:v>
      </x:c>
      <x:c r="G60" s="57" t="str">
        <x:v>待生成</x:v>
      </x:c>
      <x:c r="H60" s="57" t="str">
        <x:v>道具资产</x:v>
      </x:c>
    </x:row>
    <x:row r="61" ht="42" customHeight="1">
      <x:c r="A61" s="57" t="str">
        <x:v>PROP-009</x:v>
      </x:c>
      <x:c r="B61" s="57" t="str">
        <x:v>Megan录音音频资产</x:v>
      </x:c>
      <x:c r="C61" s="57" t="str">
        <x:v>道具</x:v>
      </x:c>
      <x:c r="D61" s="57" t="str">
        <x:v>22秒原始片段、剪掉20秒版、恢复完整版、未发语音</x:v>
      </x:c>
      <x:c r="E61" s="57" t="str">
        <x:v>E09、E18、E29</x:v>
      </x:c>
      <x:c r="F61" s="57" t="str">
        <x:v>P0</x:v>
      </x:c>
      <x:c r="G61" s="57" t="str">
        <x:v>待生成</x:v>
      </x:c>
      <x:c r="H61" s="57" t="str">
        <x:v>道具资产</x:v>
      </x:c>
    </x:row>
    <x:row r="62" ht="42" customHeight="1">
      <x:c r="A62" s="57" t="str">
        <x:v>PROP-010</x:v>
      </x:c>
      <x:c r="B62" s="57" t="str">
        <x:v>Dot未提交笔记</x:v>
      </x:c>
      <x:c r="C62" s="57" t="str">
        <x:v>道具</x:v>
      </x:c>
      <x:c r="D62" s="57" t="str">
        <x:v>便笺写DeLuca’s account doesn’t reconcile.及完整怀疑记录</x:v>
      </x:c>
      <x:c r="E62" s="57" t="str">
        <x:v>E11、E17、E28</x:v>
      </x:c>
      <x:c r="F62" s="57" t="str">
        <x:v>P0</x:v>
      </x:c>
      <x:c r="G62" s="57" t="str">
        <x:v>待生成</x:v>
      </x:c>
      <x:c r="H62" s="57" t="str">
        <x:v>道具资产</x:v>
      </x:c>
    </x:row>
    <x:row r="63" ht="42" customHeight="1">
      <x:c r="A63" s="57" t="str">
        <x:v>PROP-011</x:v>
      </x:c>
      <x:c r="B63" s="57" t="str">
        <x:v>警方物品清单/疑似遗书草稿</x:v>
      </x:c>
      <x:c r="C63" s="57" t="str">
        <x:v>道具</x:v>
      </x:c>
      <x:c r="D63" s="57" t="str">
        <x:v>列明Megan遗物与“疑似遗书草稿”</x:v>
      </x:c>
      <x:c r="E63" s="57" t="str">
        <x:v>E02</x:v>
      </x:c>
      <x:c r="F63" s="57" t="str">
        <x:v>P1</x:v>
      </x:c>
      <x:c r="G63" s="57" t="str">
        <x:v>待生成</x:v>
      </x:c>
      <x:c r="H63" s="57" t="str">
        <x:v>道具资产</x:v>
      </x:c>
    </x:row>
    <x:row r="64" ht="42" customHeight="1">
      <x:c r="A64" s="57" t="str">
        <x:v>PROP-012</x:v>
      </x:c>
      <x:c r="B64" s="57" t="str">
        <x:v>黑咖啡×2与柠檬派</x:v>
      </x:c>
      <x:c r="C64" s="57" t="str">
        <x:v>道具</x:v>
      </x:c>
      <x:c r="D64" s="57" t="str">
        <x:v>两杯黑咖啡、一块柠檬派；派实际送给隔壁桌孩子</x:v>
      </x:c>
      <x:c r="E64" s="57" t="str">
        <x:v>E10、E19、E25-E27</x:v>
      </x:c>
      <x:c r="F64" s="57" t="str">
        <x:v>P1</x:v>
      </x:c>
      <x:c r="G64" s="57" t="str">
        <x:v>待生成</x:v>
      </x:c>
      <x:c r="H64" s="57" t="str">
        <x:v>道具资产</x:v>
      </x:c>
    </x:row>
    <x:row r="65" ht="42" customHeight="1">
      <x:c r="A65" s="57" t="str">
        <x:v>PROP-013</x:v>
      </x:c>
      <x:c r="B65" s="57" t="str">
        <x:v>餐厅收银小票/桌单</x:v>
      </x:c>
      <x:c r="C65" s="57" t="str">
        <x:v>道具</x:v>
      </x:c>
      <x:c r="D65" s="57" t="str">
        <x:v>记录两份黑咖啡与一块柠檬派、时间与桌号</x:v>
      </x:c>
      <x:c r="E65" s="57" t="str">
        <x:v>E10、E19</x:v>
      </x:c>
      <x:c r="F65" s="57" t="str">
        <x:v>P1</x:v>
      </x:c>
      <x:c r="G65" s="57" t="str">
        <x:v>待生成</x:v>
      </x:c>
      <x:c r="H65" s="57" t="str">
        <x:v>道具资产</x:v>
      </x:c>
    </x:row>
    <x:row r="66" ht="42" customHeight="1">
      <x:c r="A66" s="57" t="str">
        <x:v>PROP-014</x:v>
      </x:c>
      <x:c r="B66" s="57" t="str">
        <x:v>餐厅监控硬盘</x:v>
      </x:c>
      <x:c r="C66" s="57" t="str">
        <x:v>道具</x:v>
      </x:c>
      <x:c r="D66" s="57" t="str">
        <x:v>拆下的旧监控硬盘，缺失当晚23分钟</x:v>
      </x:c>
      <x:c r="E66" s="57" t="str">
        <x:v>E10、E19、E21</x:v>
      </x:c>
      <x:c r="F66" s="57" t="str">
        <x:v>P0</x:v>
      </x:c>
      <x:c r="G66" s="57" t="str">
        <x:v>待生成</x:v>
      </x:c>
      <x:c r="H66" s="57" t="str">
        <x:v>道具资产</x:v>
      </x:c>
    </x:row>
    <x:row r="67" ht="42" customHeight="1">
      <x:c r="A67" s="57" t="str">
        <x:v>PROP-015</x:v>
      </x:c>
      <x:c r="B67" s="57" t="str">
        <x:v>红色铁锈粉</x:v>
      </x:c>
      <x:c r="C67" s="57" t="str">
        <x:v>道具</x:v>
      </x:c>
      <x:c r="D67" s="57" t="str">
        <x:v>货运场特有锈红粉，出现在Frank鞋底与Claire车内</x:v>
      </x:c>
      <x:c r="E67" s="57" t="str">
        <x:v>E04、E06、E14</x:v>
      </x:c>
      <x:c r="F67" s="57" t="str">
        <x:v>P0</x:v>
      </x:c>
      <x:c r="G67" s="57" t="str">
        <x:v>待生成</x:v>
      </x:c>
      <x:c r="H67" s="57" t="str">
        <x:v>道具资产</x:v>
      </x:c>
    </x:row>
    <x:row r="68" ht="42" customHeight="1">
      <x:c r="A68" s="57" t="str">
        <x:v>PROP-016</x:v>
      </x:c>
      <x:c r="B68" s="57" t="str">
        <x:v>Claire汽车/车内套件</x:v>
      </x:c>
      <x:c r="C68" s="57" t="str">
        <x:v>道具</x:v>
      </x:c>
      <x:c r="D68" s="57" t="str">
        <x:v>普通旧款轿车，非豪华，深色；中控、后视镜可拍</x:v>
      </x:c>
      <x:c r="E68" s="57" t="str">
        <x:v>E09、E14、E30</x:v>
      </x:c>
      <x:c r="F68" s="57" t="str">
        <x:v>P0</x:v>
      </x:c>
      <x:c r="G68" s="57" t="str">
        <x:v>待生成</x:v>
      </x:c>
      <x:c r="H68" s="57" t="str">
        <x:v>道具资产</x:v>
      </x:c>
    </x:row>
    <x:row r="69" ht="42" customHeight="1">
      <x:c r="A69" s="57" t="str">
        <x:v>PROP-017</x:v>
      </x:c>
      <x:c r="B69" s="57" t="str">
        <x:v>Daniel公司维修皮卡</x:v>
      </x:c>
      <x:c r="C69" s="57" t="str">
        <x:v>道具</x:v>
      </x:c>
      <x:c r="D69" s="57" t="str">
        <x:v>深色港口维修皮卡，带虚构公司标识与工具箱</x:v>
      </x:c>
      <x:c r="E69" s="57" t="str">
        <x:v>E04、E19-E21</x:v>
      </x:c>
      <x:c r="F69" s="57" t="str">
        <x:v>P0</x:v>
      </x:c>
      <x:c r="G69" s="57" t="str">
        <x:v>待生成</x:v>
      </x:c>
      <x:c r="H69" s="57" t="str">
        <x:v>道具资产</x:v>
      </x:c>
    </x:row>
    <x:row r="70" ht="42" customHeight="1">
      <x:c r="A70" s="57" t="str">
        <x:v>PROP-018</x:v>
      </x:c>
      <x:c r="B70" s="57" t="str">
        <x:v>港口维修日志</x:v>
      </x:c>
      <x:c r="C70" s="57" t="str">
        <x:v>道具</x:v>
      </x:c>
      <x:c r="D70" s="57" t="str">
        <x:v>含23分钟空白的维修记录、班次、Pier Nine封区信息</x:v>
      </x:c>
      <x:c r="E70" s="57" t="str">
        <x:v>E15、E20</x:v>
      </x:c>
      <x:c r="F70" s="57" t="str">
        <x:v>P0</x:v>
      </x:c>
      <x:c r="G70" s="57" t="str">
        <x:v>待生成</x:v>
      </x:c>
      <x:c r="H70" s="57" t="str">
        <x:v>道具资产</x:v>
      </x:c>
    </x:row>
    <x:row r="71" ht="42" customHeight="1">
      <x:c r="A71" s="57" t="str">
        <x:v>PROP-019</x:v>
      </x:c>
      <x:c r="B71" s="57" t="str">
        <x:v>Daniel门禁卡与刷卡记录</x:v>
      </x:c>
      <x:c r="C71" s="57" t="str">
        <x:v>道具</x:v>
      </x:c>
      <x:c r="D71" s="57" t="str">
        <x:v>门禁卡；11:42入场记录</x:v>
      </x:c>
      <x:c r="E71" s="57" t="str">
        <x:v>E20</x:v>
      </x:c>
      <x:c r="F71" s="57" t="str">
        <x:v>P1</x:v>
      </x:c>
      <x:c r="G71" s="57" t="str">
        <x:v>待生成</x:v>
      </x:c>
      <x:c r="H71" s="57" t="str">
        <x:v>道具资产</x:v>
      </x:c>
    </x:row>
    <x:row r="72" ht="42" customHeight="1">
      <x:c r="A72" s="57" t="str">
        <x:v>PROP-020</x:v>
      </x:c>
      <x:c r="B72" s="57" t="str">
        <x:v>铁盒</x:v>
      </x:c>
      <x:c r="C72" s="57" t="str">
        <x:v>道具</x:v>
      </x:c>
      <x:c r="D72" s="57" t="str">
        <x:v>Megan与Daniel争抢的金属文件盒，内装资金/旧案材料</x:v>
      </x:c>
      <x:c r="E72" s="57" t="str">
        <x:v>E20-E21</x:v>
      </x:c>
      <x:c r="F72" s="57" t="str">
        <x:v>P0</x:v>
      </x:c>
      <x:c r="G72" s="57" t="str">
        <x:v>待生成</x:v>
      </x:c>
      <x:c r="H72" s="57" t="str">
        <x:v>道具资产</x:v>
      </x:c>
    </x:row>
    <x:row r="73" ht="42" customHeight="1">
      <x:c r="A73" s="57" t="str">
        <x:v>PROP-021</x:v>
      </x:c>
      <x:c r="B73" s="57" t="str">
        <x:v>Frank鲜花与汤袋</x:v>
      </x:c>
      <x:c r="C73" s="57" t="str">
        <x:v>道具</x:v>
      </x:c>
      <x:c r="D73" s="57" t="str">
        <x:v>探望时带来的素雅鲜花和家常汤，体现善意包装</x:v>
      </x:c>
      <x:c r="E73" s="57" t="str">
        <x:v>E06</x:v>
      </x:c>
      <x:c r="F73" s="57" t="str">
        <x:v>P1</x:v>
      </x:c>
      <x:c r="G73" s="57" t="str">
        <x:v>待生成</x:v>
      </x:c>
      <x:c r="H73" s="57" t="str">
        <x:v>道具资产</x:v>
      </x:c>
    </x:row>
    <x:row r="74" ht="42" customHeight="1">
      <x:c r="A74" s="57" t="str">
        <x:v>PROP-022</x:v>
      </x:c>
      <x:c r="B74" s="57" t="str">
        <x:v>药瓶与收音机</x:v>
      </x:c>
      <x:c r="C74" s="57" t="str">
        <x:v>道具</x:v>
      </x:c>
      <x:c r="D74" s="57" t="str">
        <x:v>Eddie厨房内慢性病药瓶与旧台式收音机</x:v>
      </x:c>
      <x:c r="E74" s="57" t="str">
        <x:v>E08、E16</x:v>
      </x:c>
      <x:c r="F74" s="57" t="str">
        <x:v>P2</x:v>
      </x:c>
      <x:c r="G74" s="57" t="str">
        <x:v>待生成</x:v>
      </x:c>
      <x:c r="H74" s="57" t="str">
        <x:v>道具资产</x:v>
      </x:c>
    </x:row>
    <x:row r="75" ht="42" customHeight="1">
      <x:c r="A75" s="57" t="str">
        <x:v>PROP-023</x:v>
      </x:c>
      <x:c r="B75" s="57" t="str">
        <x:v>Claire监听饰针</x:v>
      </x:c>
      <x:c r="C75" s="57" t="str">
        <x:v>道具</x:v>
      </x:c>
      <x:c r="D75" s="57" t="str">
        <x:v>胸前小型饰针/麦克风，Frank在E25注意到</x:v>
      </x:c>
      <x:c r="E75" s="57" t="str">
        <x:v>E25-E27</x:v>
      </x:c>
      <x:c r="F75" s="57" t="str">
        <x:v>P0</x:v>
      </x:c>
      <x:c r="G75" s="57" t="str">
        <x:v>待生成</x:v>
      </x:c>
      <x:c r="H75" s="57" t="str">
        <x:v>道具资产</x:v>
      </x:c>
    </x:row>
    <x:row r="76" ht="42" customHeight="1">
      <x:c r="A76" s="57" t="str">
        <x:v>PROP-024</x:v>
      </x:c>
      <x:c r="B76" s="57" t="str">
        <x:v>授权监听设备组</x:v>
      </x:c>
      <x:c r="C76" s="57" t="str">
        <x:v>道具</x:v>
      </x:c>
      <x:c r="D76" s="57" t="str">
        <x:v>监听接收器、耳机、录音界面、行动通讯</x:v>
      </x:c>
      <x:c r="E76" s="57" t="str">
        <x:v>E24-E27</x:v>
      </x:c>
      <x:c r="F76" s="57" t="str">
        <x:v>P1</x:v>
      </x:c>
      <x:c r="G76" s="57" t="str">
        <x:v>待生成</x:v>
      </x:c>
      <x:c r="H76" s="57" t="str">
        <x:v>道具资产</x:v>
      </x:c>
    </x:row>
    <x:row r="77" ht="42" customHeight="1">
      <x:c r="A77" s="57" t="str">
        <x:v>PROP-025</x:v>
      </x:c>
      <x:c r="B77" s="57" t="str">
        <x:v>录音笔/正式证词文件</x:v>
      </x:c>
      <x:c r="C77" s="57" t="str">
        <x:v>道具</x:v>
      </x:c>
      <x:c r="D77" s="57" t="str">
        <x:v>Dot正式问询使用的录音笔、签字文件、证物编号</x:v>
      </x:c>
      <x:c r="E77" s="57" t="str">
        <x:v>E28</x:v>
      </x:c>
      <x:c r="F77" s="57" t="str">
        <x:v>P1</x:v>
      </x:c>
      <x:c r="G77" s="57" t="str">
        <x:v>待生成</x:v>
      </x:c>
      <x:c r="H77" s="57" t="str">
        <x:v>道具资产</x:v>
      </x:c>
    </x:row>
    <x:row r="78" ht="42" customHeight="1">
      <x:c r="A78" s="57" t="str">
        <x:v>PROP-026</x:v>
      </x:c>
      <x:c r="B78" s="57" t="str">
        <x:v>Megan行李箱</x:v>
      </x:c>
      <x:c r="C78" s="57" t="str">
        <x:v>道具</x:v>
      </x:c>
      <x:c r="D78" s="57" t="str">
        <x:v>略俗气、颜色醒目的中小号旅行箱，已买好准备离开</x:v>
      </x:c>
      <x:c r="E78" s="57" t="str">
        <x:v>E29-E30</x:v>
      </x:c>
      <x:c r="F78" s="57" t="str">
        <x:v>P0</x:v>
      </x:c>
      <x:c r="G78" s="57" t="str">
        <x:v>待生成</x:v>
      </x:c>
      <x:c r="H78" s="57" t="str">
        <x:v>道具资产</x:v>
      </x:c>
    </x:row>
    <x:row r="79" ht="42" customHeight="1">
      <x:c r="A79" s="57" t="str">
        <x:v>PROP-027</x:v>
      </x:c>
      <x:c r="B79" s="57" t="str">
        <x:v>老照片组</x:v>
      </x:c>
      <x:c r="C79" s="57" t="str">
        <x:v>道具</x:v>
      </x:c>
      <x:c r="D79" s="57" t="str">
        <x:v>Dot与Frank年轻合影；Leo人事照；Doyle档案照；1989现场照</x:v>
      </x:c>
      <x:c r="E79" s="57" t="str">
        <x:v>E03、E12、E16</x:v>
      </x:c>
      <x:c r="F79" s="57" t="str">
        <x:v>P1</x:v>
      </x:c>
      <x:c r="G79" s="57" t="str">
        <x:v>待生成</x:v>
      </x:c>
      <x:c r="H79" s="57" t="str">
        <x:v>道具资产</x:v>
      </x:c>
    </x:row>
    <x:row r="80" ht="42" customHeight="1">
      <x:c r="A80" s="57" t="str">
        <x:v>PROP-028</x:v>
      </x:c>
      <x:c r="B80" s="57" t="str">
        <x:v>餐厅点唱机</x:v>
      </x:c>
      <x:c r="C80" s="57" t="str">
        <x:v>道具</x:v>
      </x:c>
      <x:c r="D80" s="57" t="str">
        <x:v>老式点唱机，录音背景声来源</x:v>
      </x:c>
      <x:c r="E80" s="57" t="str">
        <x:v>E09-E10、E25-E27</x:v>
      </x:c>
      <x:c r="F80" s="57" t="str">
        <x:v>P1</x:v>
      </x:c>
      <x:c r="G80" s="57" t="str">
        <x:v>待生成</x:v>
      </x:c>
      <x:c r="H80" s="57" t="str">
        <x:v>道具资产</x:v>
      </x:c>
    </x:row>
    <x:row r="81" ht="42" customHeight="1">
      <x:c r="A81" s="57" t="str">
        <x:v>PROP-029</x:v>
      </x:c>
      <x:c r="B81" s="57" t="str">
        <x:v>证物袋/警戒线/担架</x:v>
      </x:c>
      <x:c r="C81" s="57" t="str">
        <x:v>道具</x:v>
      </x:c>
      <x:c r="D81" s="57" t="str">
        <x:v>港口救援及证物交接使用的虚构县警标识套件</x:v>
      </x:c>
      <x:c r="E81" s="57" t="str">
        <x:v>E01、E21、E27-E28</x:v>
      </x:c>
      <x:c r="F81" s="57" t="str">
        <x:v>P1</x:v>
      </x:c>
      <x:c r="G81" s="57" t="str">
        <x:v>待生成</x:v>
      </x:c>
      <x:c r="H81" s="57" t="str">
        <x:v>道具资产</x:v>
      </x:c>
    </x:row>
    <x:row r="82" ht="42" customHeight="1">
      <x:c r="A82" s="57" t="str">
        <x:v>PROP-030</x:v>
      </x:c>
      <x:c r="B82" s="57" t="str">
        <x:v>后视镜警告字迹</x:v>
      </x:c>
      <x:c r="C82" s="57" t="str">
        <x:v>道具</x:v>
      </x:c>
      <x:c r="D82" s="57" t="str">
        <x:v>ASK DOT WHAT SHE LOST.写在车内后视镜</x:v>
      </x:c>
      <x:c r="E82" s="57" t="str">
        <x:v>E14</x:v>
      </x:c>
      <x:c r="F82" s="57" t="str">
        <x:v>P1</x:v>
      </x:c>
      <x:c r="G82" s="57" t="str">
        <x:v>待生成</x:v>
      </x:c>
      <x:c r="H82" s="57" t="str">
        <x:v>道具资产</x:v>
      </x:c>
    </x:row>
    <x:row r="83" ht="42" customHeight="1">
      <x:c r="A83" s="57" t="str">
        <x:v>OTH-001</x:v>
      </x:c>
      <x:c r="B83" s="57" t="str">
        <x:v>全剧角色一致性包</x:v>
      </x:c>
      <x:c r="C83" s="57" t="str">
        <x:v>其他资产</x:v>
      </x:c>
      <x:c r="D83" s="57" t="str">
        <x:v>每位主要人物正面/45度/侧面/全身/表情/手部；角色LoRA或参考图包</x:v>
      </x:c>
      <x:c r="E83" s="57" t="str">
        <x:v>E01-E30</x:v>
      </x:c>
      <x:c r="F83" s="57" t="str">
        <x:v>P0</x:v>
      </x:c>
      <x:c r="G83" s="57" t="str">
        <x:v>待生成</x:v>
      </x:c>
      <x:c r="H83" s="57" t="str">
        <x:v>其他资产</x:v>
      </x:c>
    </x:row>
    <x:row r="84" ht="42" customHeight="1">
      <x:c r="A84" s="57" t="str">
        <x:v>OTH-002</x:v>
      </x:c>
      <x:c r="B84" s="57" t="str">
        <x:v>人物关系与年龄连续性表</x:v>
      </x:c>
      <x:c r="C84" s="57" t="str">
        <x:v>其他资产</x:v>
      </x:c>
      <x:c r="D84" s="57" t="str">
        <x:v>三代Bennett家族、DeLuca父子及1989/2026年龄映射</x:v>
      </x:c>
      <x:c r="E84" s="57" t="str">
        <x:v>E01-E30</x:v>
      </x:c>
      <x:c r="F84" s="57" t="str">
        <x:v>P0</x:v>
      </x:c>
      <x:c r="G84" s="57" t="str">
        <x:v>待生成</x:v>
      </x:c>
      <x:c r="H84" s="57" t="str">
        <x:v>其他资产</x:v>
      </x:c>
    </x:row>
    <x:row r="85" ht="42" customHeight="1">
      <x:c r="A85" s="57" t="str">
        <x:v>OTH-004</x:v>
      </x:c>
      <x:c r="B85" s="57" t="str">
        <x:v>场景视觉圣经</x:v>
      </x:c>
      <x:c r="C85" s="57" t="str">
        <x:v>其他资产</x:v>
      </x:c>
      <x:c r="D85" s="57" t="str">
        <x:v>低饱和冷灰、旧木、锈红；50mm人物视角；港口水面与锈迹参考</x:v>
      </x:c>
      <x:c r="E85" s="57" t="str">
        <x:v>E01-E30</x:v>
      </x:c>
      <x:c r="F85" s="57" t="str">
        <x:v>P0</x:v>
      </x:c>
      <x:c r="G85" s="57" t="str">
        <x:v>待生成</x:v>
      </x:c>
      <x:c r="H85" s="57" t="str">
        <x:v>其他资产</x:v>
      </x:c>
    </x:row>
    <x:row r="86" ht="42" customHeight="1">
      <x:c r="A86" s="57" t="str">
        <x:v>OTH-005</x:v>
      </x:c>
      <x:c r="B86" s="57" t="str">
        <x:v>1989年代资产包</x:v>
      </x:c>
      <x:c r="C86" s="57" t="str">
        <x:v>其他资产</x:v>
      </x:c>
      <x:c r="D86" s="57" t="str">
        <x:v>银行、警服、车辆、文件、钱袋、室内陈设、影像颗粒</x:v>
      </x:c>
      <x:c r="E86" s="57" t="str">
        <x:v>E03、E11、E16、E17</x:v>
      </x:c>
      <x:c r="F86" s="57" t="str">
        <x:v>P1</x:v>
      </x:c>
      <x:c r="G86" s="57" t="str">
        <x:v>待生成</x:v>
      </x:c>
      <x:c r="H86" s="57" t="str">
        <x:v>其他资产</x:v>
      </x:c>
    </x:row>
    <x:row r="87" ht="42" customHeight="1">
      <x:c r="A87" s="57" t="str">
        <x:v>OTH-006</x:v>
      </x:c>
      <x:c r="B87" s="57" t="str">
        <x:v>虚构机构品牌包</x:v>
      </x:c>
      <x:c r="C87" s="57" t="str">
        <x:v>其他资产</x:v>
      </x:c>
      <x:c r="D87" s="57" t="str">
        <x:v>Grey Harbor County Police、港口维修公司、Rossi餐厅、银行等Logo与字体</x:v>
      </x:c>
      <x:c r="E87" s="57" t="str">
        <x:v>E01-E30</x:v>
      </x:c>
      <x:c r="F87" s="57" t="str">
        <x:v>P0</x:v>
      </x:c>
      <x:c r="G87" s="57" t="str">
        <x:v>待生成</x:v>
      </x:c>
      <x:c r="H87" s="57" t="str">
        <x:v>其他资产</x:v>
      </x:c>
    </x:row>
    <x:row r="88" ht="42" customHeight="1">
      <x:c r="A88" s="57" t="str">
        <x:v>OTH-007</x:v>
      </x:c>
      <x:c r="B88" s="57" t="str">
        <x:v>手机/电脑/监控UI包</x:v>
      </x:c>
      <x:c r="C88" s="57" t="str">
        <x:v>其他资产</x:v>
      </x:c>
      <x:c r="D88" s="57" t="str">
        <x:v>短信、云端录音、定位、波形恢复、门禁记录、监听界面、监控时间码</x:v>
      </x:c>
      <x:c r="E88" s="57" t="str">
        <x:v>E01、E09、E18-E21、E24-E27、E29</x:v>
      </x:c>
      <x:c r="F88" s="57" t="str">
        <x:v>P0</x:v>
      </x:c>
      <x:c r="G88" s="57" t="str">
        <x:v>待生成</x:v>
      </x:c>
      <x:c r="H88" s="57" t="str">
        <x:v>其他资产</x:v>
      </x:c>
    </x:row>
    <x:row r="89" ht="42" customHeight="1">
      <x:c r="A89" s="57" t="str">
        <x:v>OTH-008</x:v>
      </x:c>
      <x:c r="B89" s="57" t="str">
        <x:v>英文台词原声与口型包</x:v>
      </x:c>
      <x:c r="C89" s="57" t="str">
        <x:v>其他资产</x:v>
      </x:c>
      <x:c r="D89" s="57" t="str">
        <x:v>主角/配角英语音色、对白干声、呼吸、哭腔强度与口型驱动文件</x:v>
      </x:c>
      <x:c r="E89" s="57" t="str">
        <x:v>E01-E30</x:v>
      </x:c>
      <x:c r="F89" s="57" t="str">
        <x:v>P0</x:v>
      </x:c>
      <x:c r="G89" s="57" t="str">
        <x:v>待生成</x:v>
      </x:c>
      <x:c r="H89" s="57" t="str">
        <x:v>其他资产</x:v>
      </x:c>
    </x:row>
    <x:row r="90" ht="42" customHeight="1">
      <x:c r="A90" s="57" t="str">
        <x:v>OTH-009</x:v>
      </x:c>
      <x:c r="B90" s="57" t="str">
        <x:v>中文字幕与双语字卡模板</x:v>
      </x:c>
      <x:c r="C90" s="57" t="str">
        <x:v>其他资产</x:v>
      </x:c>
      <x:c r="D90" s="57" t="str">
        <x:v>中英双语字幕、安全框、每集标题、黑场For Megan</x:v>
      </x:c>
      <x:c r="E90" s="57" t="str">
        <x:v>E01-E30</x:v>
      </x:c>
      <x:c r="F90" s="57" t="str">
        <x:v>P0</x:v>
      </x:c>
      <x:c r="G90" s="57" t="str">
        <x:v>待生成</x:v>
      </x:c>
      <x:c r="H90" s="57" t="str">
        <x:v>其他资产</x:v>
      </x:c>
    </x:row>
    <x:row r="91" ht="42" customHeight="1">
      <x:c r="A91" s="57" t="str">
        <x:v>OTH-010</x:v>
      </x:c>
      <x:c r="B91" s="57" t="str">
        <x:v>港口环境声包</x:v>
      </x:c>
      <x:c r="C91" s="57" t="str">
        <x:v>其他资产</x:v>
      </x:c>
      <x:c r="D91" s="57" t="str">
        <x:v>风、雨后滴水、黑水、远船、金属梯、救援灯电流、远处火车</x:v>
      </x:c>
      <x:c r="E91" s="57" t="str">
        <x:v>E01、E04、E15、E19-E21、E30</x:v>
      </x:c>
      <x:c r="F91" s="57" t="str">
        <x:v>P0</x:v>
      </x:c>
      <x:c r="G91" s="57" t="str">
        <x:v>待生成</x:v>
      </x:c>
      <x:c r="H91" s="57" t="str">
        <x:v>其他资产</x:v>
      </x:c>
    </x:row>
    <x:row r="92" ht="42" customHeight="1">
      <x:c r="A92" s="57" t="str">
        <x:v>OTH-011</x:v>
      </x:c>
      <x:c r="B92" s="57" t="str">
        <x:v>Rossi餐厅声音包</x:v>
      </x:c>
      <x:c r="C92" s="57" t="str">
        <x:v>其他资产</x:v>
      </x:c>
      <x:c r="D92" s="57" t="str">
        <x:v>咖啡机、餐具、低声人群、点唱机原创片段、后厨环境</x:v>
      </x:c>
      <x:c r="E92" s="57" t="str">
        <x:v>E09-E10、E19、E25-E27</x:v>
      </x:c>
      <x:c r="F92" s="57" t="str">
        <x:v>P1</x:v>
      </x:c>
      <x:c r="G92" s="57" t="str">
        <x:v>待生成</x:v>
      </x:c>
      <x:c r="H92" s="57" t="str">
        <x:v>其他资产</x:v>
      </x:c>
    </x:row>
    <x:row r="93" ht="42" customHeight="1">
      <x:c r="A93" s="57" t="str">
        <x:v>OTH-012</x:v>
      </x:c>
      <x:c r="B93" s="57" t="str">
        <x:v>天气与水体VFX包</x:v>
      </x:c>
      <x:c r="C93" s="57" t="str">
        <x:v>其他资产</x:v>
      </x:c>
      <x:c r="D93" s="57" t="str">
        <x:v>冷雨刚停、衣物湿润、黑水反光、落水回忆、清晨雾气</x:v>
      </x:c>
      <x:c r="E93" s="57" t="str">
        <x:v>E01、E21、E30</x:v>
      </x:c>
      <x:c r="F93" s="57" t="str">
        <x:v>P0</x:v>
      </x:c>
      <x:c r="G93" s="57" t="str">
        <x:v>待生成</x:v>
      </x:c>
      <x:c r="H93" s="57" t="str">
        <x:v>其他资产</x:v>
      </x:c>
    </x:row>
    <x:row r="94" ht="42" customHeight="1">
      <x:c r="A94" s="57" t="str">
        <x:v>OTH-013</x:v>
      </x:c>
      <x:c r="B94" s="57" t="str">
        <x:v>证物与文件近景模板</x:v>
      </x:c>
      <x:c r="C94" s="57" t="str">
        <x:v>其他资产</x:v>
      </x:c>
      <x:c r="D94" s="57" t="str">
        <x:v>账页、便笺、信、清单、日志、照片的手部近景、焦点与可读区模板</x:v>
      </x:c>
      <x:c r="E94" s="57" t="str">
        <x:v>E02-E20、E28</x:v>
      </x:c>
      <x:c r="F94" s="57" t="str">
        <x:v>P0</x:v>
      </x:c>
      <x:c r="G94" s="57" t="str">
        <x:v>待生成</x:v>
      </x:c>
      <x:c r="H94" s="57" t="str">
        <x:v>其他资产</x:v>
      </x:c>
    </x:row>
    <x:row r="95" ht="42" customHeight="1">
      <x:c r="A95" s="57" t="str">
        <x:v>OTH-014</x:v>
      </x:c>
      <x:c r="B95" s="57" t="str">
        <x:v>每集片头/集名/结尾钩子包装</x:v>
      </x:c>
      <x:c r="C95" s="57" t="str">
        <x:v>其他资产</x:v>
      </x:c>
      <x:c r="D95" s="57" t="str">
        <x:v>30集标题条、5-10秒结尾钩子节奏、统一黑场与下集悬念音效</x:v>
      </x:c>
      <x:c r="E95" s="57" t="str">
        <x:v>E01-E30</x:v>
      </x:c>
      <x:c r="F95" s="57" t="str">
        <x:v>P1</x:v>
      </x:c>
      <x:c r="G95" s="57" t="str">
        <x:v>待生成</x:v>
      </x:c>
      <x:c r="H95" s="57" t="str">
        <x:v>其他资产</x:v>
      </x:c>
    </x:row>
    <x:row r="96" ht="42" customHeight="1">
      <x:c r="A96" s="57" t="str">
        <x:v>OTH-015</x:v>
      </x:c>
      <x:c r="B96" s="57" t="str">
        <x:v>连续性总表与镜头资产追踪</x:v>
      </x:c>
      <x:c r="C96" s="57" t="str">
        <x:v>其他资产</x:v>
      </x:c>
      <x:c r="D96" s="57" t="str">
        <x:v>人物脸、服装、伤痕、湿度、道具流转、场景版本、镜头生成状态</x:v>
      </x:c>
      <x:c r="E96" s="57" t="str">
        <x:v>E01-E30</x:v>
      </x:c>
      <x:c r="F96" s="57" t="str">
        <x:v>P0</x:v>
      </x:c>
      <x:c r="G96" s="57" t="str">
        <x:v>待生成</x:v>
      </x:c>
      <x:c r="H96" s="57" t="str">
        <x:v>其他资产</x:v>
      </x:c>
    </x:row>
    <x:row r="97" ht="42" customHeight="1">
      <x:c r="A97" s="57" t="str">
        <x:v>OTH-016</x:v>
      </x:c>
      <x:c r="B97" s="57" t="str">
        <x:v>法律与安全审查清单</x:v>
      </x:c>
      <x:c r="C97" s="57" t="str">
        <x:v>其他资产</x:v>
      </x:c>
      <x:c r="D97" s="57" t="str">
        <x:v>虚构警徽/机构、药瓶标签、车牌、监听合法性、演员落水与粉末安全</x:v>
      </x:c>
      <x:c r="E97" s="57" t="str">
        <x:v>E01-E30</x:v>
      </x:c>
      <x:c r="F97" s="57" t="str">
        <x:v>P1</x:v>
      </x:c>
      <x:c r="G97" s="57" t="str">
        <x:v>待生成</x:v>
      </x:c>
      <x:c r="H97" s="57" t="str">
        <x:v>其他资产</x:v>
      </x:c>
    </x:row>
    <x:row r="98" ht="42" customHeight="1">
      <x:c r="A98" s="57" t="str">
        <x:v>OTH-017</x:v>
      </x:c>
      <x:c r="B98" s="57" t="str">
        <x:v>海报与主视觉资产</x:v>
      </x:c>
      <x:c r="C98" s="57" t="str">
        <x:v>其他资产</x:v>
      </x:c>
      <x:c r="D98" s="57" t="str">
        <x:v>Claire与Dot双女主、港口黑水、银链/钥匙、Frank温和阴影版</x:v>
      </x:c>
      <x:c r="E98" s="57" t="str">
        <x:v>全剧</x:v>
      </x:c>
      <x:c r="F98" s="57" t="str">
        <x:v>P1</x:v>
      </x:c>
      <x:c r="G98" s="57" t="str">
        <x:v>待生成</x:v>
      </x:c>
      <x:c r="H98" s="57" t="str">
        <x:v>其他资产</x:v>
      </x:c>
    </x:row>
    <x:row r="99" ht="42" customHeight="1">
      <x:c r="A99" s="58" t="str">
        <x:v>OTH-018</x:v>
      </x:c>
      <x:c r="B99" s="58" t="str">
        <x:v>场景空镜与转场素材</x:v>
      </x:c>
      <x:c r="C99" s="58" t="str">
        <x:v>其他资产</x:v>
      </x:c>
      <x:c r="D99" s="58" t="str">
        <x:v>港口水面、空栏杆、远火车、雨窗、警局走廊、餐厅空卡座</x:v>
      </x:c>
      <x:c r="E99" s="58" t="str">
        <x:v>E01-E30</x:v>
      </x:c>
      <x:c r="F99" s="58" t="str">
        <x:v>P1</x:v>
      </x:c>
      <x:c r="G99" s="58" t="str">
        <x:v>待生成</x:v>
      </x:c>
      <x:c r="H99" s="58" t="str">
        <x:v>其他资产</x:v>
      </x:c>
    </x:row>
  </x:sheetData>
  <x:dataValidations count="2">
    <x:dataValidation type="list" sqref="F2:F500">
      <x:formula1>"P0,P1,P2"</x:formula1>
    </x:dataValidation>
    <x:dataValidation type="list" sqref="G2:G500">
      <x:formula1>"待生成,生成中,待审核,已锁定,需返工"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cb31f351a74df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7" hidden="0" customWidth="1"/>
    <x:col min="4" max="4" width="52" hidden="0" customWidth="1"/>
    <x:col min="5" max="5" width="48" hidden="0" customWidth="1"/>
    <x:col min="6" max="6" width="38" hidden="0" customWidth="1"/>
    <x:col min="7" max="7" width="42" hidden="0" customWidth="1"/>
    <x:col min="8" max="8" width="25" hidden="0" customWidth="1"/>
    <x:col min="9" max="9" width="22" hidden="0" customWidth="1"/>
    <x:col min="10" max="10" width="10" hidden="0" customWidth="1"/>
    <x:col min="11" max="11" width="13" hidden="0" customWidth="1"/>
    <x:col min="12" max="12" width="18" hidden="0" customWidth="1"/>
  </x:cols>
  <x:sheetData>
    <x:row r="1" ht="30" customHeight="1">
      <x:c r="A1" s="59" t="str">
        <x:v>资产ID</x:v>
      </x:c>
      <x:c r="B1" s="60" t="str">
        <x:v>人物</x:v>
      </x:c>
      <x:c r="C1" s="60" t="str">
        <x:v>资产版本</x:v>
      </x:c>
      <x:c r="D1" s="60" t="str">
        <x:v>人物视觉基准</x:v>
      </x:c>
      <x:c r="E1" s="60" t="str">
        <x:v>服装造型</x:v>
      </x:c>
      <x:c r="F1" s="60" t="str">
        <x:v>妆发状态</x:v>
      </x:c>
      <x:c r="G1" s="60" t="str">
        <x:v>状态变化</x:v>
      </x:c>
      <x:c r="H1" s="60" t="str">
        <x:v>使用集数</x:v>
      </x:c>
      <x:c r="I1" s="60" t="str">
        <x:v>连续性组</x:v>
      </x:c>
      <x:c r="J1" s="60" t="str">
        <x:v>优先级</x:v>
      </x:c>
      <x:c r="K1" s="60" t="str">
        <x:v>状态</x:v>
      </x:c>
      <x:c r="L1" s="61" t="str">
        <x:v>资产图</x:v>
      </x:c>
    </x:row>
    <x:row r="2" ht="42" customHeight="1">
      <x:c r="A2" s="56" t="str">
        <x:v>LOOK-CLA-01</x:v>
      </x:c>
      <x:c r="B2" s="56" t="str">
        <x:v>Claire Bennett</x:v>
      </x:c>
      <x:c r="C2" s="56" t="str">
        <x:v>基础毛衣·深色大衣</x:v>
      </x:c>
      <x:c r="D2" s="56" t="str">
        <x:v>主角；26岁办公室行政助理；自然写实，肩长深棕发，清爽少妆，身形轻盈；聪明直接、行动快</x:v>
      </x:c>
      <x:c r="E2" s="56" t="str">
        <x:v>深色旧羊毛衫＋深色长裤＋短靴；外景加深色旧大衣</x:v>
      </x:c>
      <x:c r="F2" s="56" t="str">
        <x:v>肩长深棕发；自然少妆</x:v>
      </x:c>
      <x:c r="G2" s="56" t="str">
        <x:v>E01雨后微湿、苍白；E02手心红印；E03/E06恢复干燥</x:v>
      </x:c>
      <x:c r="H2" s="56" t="str">
        <x:v>E01、E02、E03、E06</x:v>
      </x:c>
      <x:c r="I2" s="56" t="str">
        <x:v>CONT-CLA-BASE</x:v>
      </x:c>
      <x:c r="J2" s="56" t="str">
        <x:v>P0</x:v>
      </x:c>
      <x:c r="K2" s="56" t="str">
        <x:v>待生成</x:v>
      </x:c>
      <x:c r="L2" s="56" t="str"/>
    </x:row>
    <x:row r="3" ht="42" customHeight="1">
      <x:c r="A3" s="57" t="str">
        <x:v>LOOK-CLA-03</x:v>
      </x:c>
      <x:c r="B3" s="57" t="str">
        <x:v>Claire Bennett</x:v>
      </x:c>
      <x:c r="C3" s="57" t="str">
        <x:v>调查工装夹克</x:v>
      </x:c>
      <x:c r="D3" s="57" t="str">
        <x:v>主角；26岁办公室行政助理；自然写实，肩长深棕发，清爽少妆，身形轻盈；聪明直接、行动快</x:v>
      </x:c>
      <x:c r="E3" s="57" t="str">
        <x:v>深色工装/旅行夹克＋针织内搭＋牛仔裤＋短靴</x:v>
      </x:c>
      <x:c r="F3" s="57" t="str">
        <x:v>低马尾或别耳发；自然妆</x:v>
      </x:c>
      <x:c r="G3" s="57" t="str">
        <x:v>E04货运场轻微灰尘；E07-E09旅途疲惫</x:v>
      </x:c>
      <x:c r="H3" s="57" t="str">
        <x:v>E04、E05、E07、E08、E09</x:v>
      </x:c>
      <x:c r="I3" s="57" t="str">
        <x:v>CONT-CLA-INVEST-1</x:v>
      </x:c>
      <x:c r="J3" s="57" t="str">
        <x:v>P0</x:v>
      </x:c>
      <x:c r="K3" s="57" t="str">
        <x:v>待生成</x:v>
      </x:c>
      <x:c r="L3" s="57" t="str"/>
    </x:row>
    <x:row r="4" ht="42" customHeight="1">
      <x:c r="A4" s="57" t="str">
        <x:v>LOOK-CLA-07</x:v>
      </x:c>
      <x:c r="B4" s="57" t="str">
        <x:v>Claire Bennett</x:v>
      </x:c>
      <x:c r="C4" s="57" t="str">
        <x:v>中段暗红针织常服</x:v>
      </x:c>
      <x:c r="D4" s="57" t="str">
        <x:v>主角；26岁办公室行政助理；自然写实，肩长深棕发，清爽少妆，身形轻盈；聪明直接、行动快</x:v>
      </x:c>
      <x:c r="E4" s="57" t="str">
        <x:v>暗红/棕色针织衫＋深色长裤；外景加深色大衣</x:v>
      </x:c>
      <x:c r="F4" s="57" t="str">
        <x:v>肩长发；克制淡妆；疲惫逐集增加</x:v>
      </x:c>
      <x:c r="G4" s="57" t="str">
        <x:v>E14惊慌冷汗；其余无</x:v>
      </x:c>
      <x:c r="H4" s="57" t="str">
        <x:v>E10、E11、E12、E13、E14、E15、E16、E17、E18、E19</x:v>
      </x:c>
      <x:c r="I4" s="57" t="str">
        <x:v>CONT-CLA-MID</x:v>
      </x:c>
      <x:c r="J4" s="57" t="str">
        <x:v>P0</x:v>
      </x:c>
      <x:c r="K4" s="57" t="str">
        <x:v>待生成</x:v>
      </x:c>
      <x:c r="L4" s="57" t="str"/>
    </x:row>
    <x:row r="5" ht="42" customHeight="1">
      <x:c r="A5" s="57" t="str">
        <x:v>LOOK-CLA-08</x:v>
      </x:c>
      <x:c r="B5" s="57" t="str">
        <x:v>Claire Bennett</x:v>
      </x:c>
      <x:c r="C5" s="57" t="str">
        <x:v>后段深绿防风调查装</x:v>
      </x:c>
      <x:c r="D5" s="57" t="str">
        <x:v>主角；26岁办公室行政助理；自然写实，肩长深棕发，清爽少妆，身形轻盈；聪明直接、行动快</x:v>
      </x:c>
      <x:c r="E5" s="57" t="str">
        <x:v>深绿防风外套＋深色针织衫＋长裤</x:v>
      </x:c>
      <x:c r="F5" s="57" t="str">
        <x:v>低马尾；苍白、睡眠不足</x:v>
      </x:c>
      <x:c r="G5" s="57" t="str">
        <x:v>E20-E21凌晨状态；轻微泪痕</x:v>
      </x:c>
      <x:c r="H5" s="57" t="str">
        <x:v>E20、E21、E22、E23</x:v>
      </x:c>
      <x:c r="I5" s="57" t="str">
        <x:v>CONT-CLA-INVEST-2</x:v>
      </x:c>
      <x:c r="J5" s="57" t="str">
        <x:v>P0</x:v>
      </x:c>
      <x:c r="K5" s="57" t="str">
        <x:v>待生成</x:v>
      </x:c>
      <x:c r="L5" s="57" t="str"/>
    </x:row>
    <x:row r="6" ht="42" customHeight="1">
      <x:c r="A6" s="57" t="str">
        <x:v>LOOK-CLA-09</x:v>
      </x:c>
      <x:c r="B6" s="57" t="str">
        <x:v>Claire Bennett</x:v>
      </x:c>
      <x:c r="C6" s="57" t="str">
        <x:v>授权监听行动装</x:v>
      </x:c>
      <x:c r="D6" s="57" t="str">
        <x:v>主角；26岁办公室行政助理；自然写实，肩长深棕发，清爽少妆，身形轻盈；聪明直接、行动快</x:v>
      </x:c>
      <x:c r="E6" s="57" t="str">
        <x:v>暗红衬衫/针织上衣＋深色外套＋深色长裤；胸前佩戴银色监听饰针</x:v>
      </x:c>
      <x:c r="F6" s="57" t="str">
        <x:v>整齐散发；克制淡妆；眼圈微红</x:v>
      </x:c>
      <x:c r="G6" s="57" t="str">
        <x:v>E25-E27同一夜，妆发和饰针位置不变</x:v>
      </x:c>
      <x:c r="H6" s="57" t="str">
        <x:v>E24、E25、E26、E27</x:v>
      </x:c>
      <x:c r="I6" s="57" t="str">
        <x:v>CONT-CLA-STING</x:v>
      </x:c>
      <x:c r="J6" s="57" t="str">
        <x:v>P0</x:v>
      </x:c>
      <x:c r="K6" s="57" t="str">
        <x:v>待生成</x:v>
      </x:c>
      <x:c r="L6" s="57" t="str"/>
    </x:row>
    <x:row r="7" ht="42" customHeight="1">
      <x:c r="A7" s="57" t="str">
        <x:v>LOOK-CLA-10</x:v>
      </x:c>
      <x:c r="B7" s="57" t="str">
        <x:v>Claire Bennett</x:v>
      </x:c>
      <x:c r="C7" s="57" t="str">
        <x:v>善后家居针织装</x:v>
      </x:c>
      <x:c r="D7" s="57" t="str">
        <x:v>主角；26岁办公室行政助理；自然写实，肩长深棕发，清爽少妆，身形轻盈；聪明直接、行动快</x:v>
      </x:c>
      <x:c r="E7" s="57" t="str">
        <x:v>柔软深棕/暗红家居针织衫＋宽松长裤</x:v>
      </x:c>
      <x:c r="F7" s="57" t="str">
        <x:v>自然散发；哭后泪痕；几乎无妆</x:v>
      </x:c>
      <x:c r="G7" s="57" t="str">
        <x:v>无</x:v>
      </x:c>
      <x:c r="H7" s="57" t="str">
        <x:v>E29</x:v>
      </x:c>
      <x:c r="I7" s="57" t="str">
        <x:v>CONT-CLA-J</x:v>
      </x:c>
      <x:c r="J7" s="57" t="str">
        <x:v>P0</x:v>
      </x:c>
      <x:c r="K7" s="57" t="str">
        <x:v>待生成</x:v>
      </x:c>
      <x:c r="L7" s="57" t="str"/>
    </x:row>
    <x:row r="8" ht="42" customHeight="1">
      <x:c r="A8" s="57" t="str">
        <x:v>LOOK-CLA-11</x:v>
      </x:c>
      <x:c r="B8" s="57" t="str">
        <x:v>Claire Bennett</x:v>
      </x:c>
      <x:c r="C8" s="57" t="str">
        <x:v>港口结局大衣</x:v>
      </x:c>
      <x:c r="D8" s="57" t="str">
        <x:v>主角；26岁办公室行政助理；自然写实，肩长深棕发，清爽少妆，身形轻盈；聪明直接、行动快</x:v>
      </x:c>
      <x:c r="E8" s="57" t="str">
        <x:v>深蓝大衣＋暗红围巾＋深色长裤＋短靴</x:v>
      </x:c>
      <x:c r="F8" s="57" t="str">
        <x:v>干燥整齐的肩长发；淡妆；比E01更松弛</x:v>
      </x:c>
      <x:c r="G8" s="57" t="str">
        <x:v>干燥，无救援现场污渍</x:v>
      </x:c>
      <x:c r="H8" s="57" t="str">
        <x:v>E30</x:v>
      </x:c>
      <x:c r="I8" s="57" t="str">
        <x:v>CONT-CLA-K</x:v>
      </x:c>
      <x:c r="J8" s="57" t="str">
        <x:v>P0</x:v>
      </x:c>
      <x:c r="K8" s="57" t="str">
        <x:v>待生成</x:v>
      </x:c>
      <x:c r="L8" s="57" t="str"/>
    </x:row>
    <x:row r="9" ht="42" customHeight="1">
      <x:c r="A9" s="57" t="str">
        <x:v>LOOK-DOT-01</x:v>
      </x:c>
      <x:c r="B9" s="57" t="str">
        <x:v>Dorothy “Dot” Bennett</x:v>
      </x:c>
      <x:c r="C9" s="57" t="str">
        <x:v>基础居家开衫</x:v>
      </x:c>
      <x:c r="D9" s="57" t="str">
        <x:v>主角；72岁退休凶案警探；银灰短发，真实细纹，稳重目光，朴素克制；不做精致贵妇感</x:v>
      </x:c>
      <x:c r="E9" s="57" t="str">
        <x:v>深蓝/炭灰旧开衫＋浅色衬衫＋深色长裤＋实用皮鞋</x:v>
      </x:c>
      <x:c r="F9" s="57" t="str">
        <x:v>银灰短发；真实细纹；无精致贵妇妆</x:v>
      </x:c>
      <x:c r="G9" s="57" t="str">
        <x:v>E17发型略松、无妆感，其余整齐</x:v>
      </x:c>
      <x:c r="H9" s="57" t="str">
        <x:v>E03、E06、E11、E17</x:v>
      </x:c>
      <x:c r="I9" s="57" t="str">
        <x:v>CONT-DOT-HOME</x:v>
      </x:c>
      <x:c r="J9" s="57" t="str">
        <x:v>P0</x:v>
      </x:c>
      <x:c r="K9" s="57" t="str">
        <x:v>待生成</x:v>
      </x:c>
      <x:c r="L9" s="57" t="str"/>
    </x:row>
    <x:row r="10" ht="42" customHeight="1">
      <x:c r="A10" s="57" t="str">
        <x:v>LOOK-DOT-04</x:v>
      </x:c>
      <x:c r="B10" s="57" t="str">
        <x:v>Dorothy “Dot” Bennett</x:v>
      </x:c>
      <x:c r="C10" s="57" t="str">
        <x:v>旧风衣调查装</x:v>
      </x:c>
      <x:c r="D10" s="57" t="str">
        <x:v>主角；72岁退休凶案警探；银灰短发，真实细纹，稳重目光，朴素克制；不做精致贵妇感</x:v>
      </x:c>
      <x:c r="E10" s="57" t="str">
        <x:v>深灰/橄榄灰旧风衣＋针织开衫＋深色长裤＋实用皮鞋</x:v>
      </x:c>
      <x:c r="F10" s="57" t="str">
        <x:v>短发防风定型；自然妆</x:v>
      </x:c>
      <x:c r="G10" s="57" t="str">
        <x:v>旅途疲惫</x:v>
      </x:c>
      <x:c r="H10" s="57" t="str">
        <x:v>E04、E05、E07、E08、E09、E10、E12、E13、E14、E15、E16、E18、E19、E20、E21、E22、E23、E24</x:v>
      </x:c>
      <x:c r="I10" s="57" t="str">
        <x:v>CONT-DOT-INVEST</x:v>
      </x:c>
      <x:c r="J10" s="57" t="str">
        <x:v>P0</x:v>
      </x:c>
      <x:c r="K10" s="57" t="str">
        <x:v>待生成</x:v>
      </x:c>
      <x:c r="L10" s="57" t="str"/>
    </x:row>
    <x:row r="11" ht="42" customHeight="1">
      <x:c r="A11" s="57" t="str">
        <x:v>LOOK-DOT-07</x:v>
      </x:c>
      <x:c r="B11" s="57" t="str">
        <x:v>Dorothy “Dot” Bennett</x:v>
      </x:c>
      <x:c r="C11" s="57" t="str">
        <x:v>Rossi餐厅终局装</x:v>
      </x:c>
      <x:c r="D11" s="57" t="str">
        <x:v>主角；72岁退休凶案警探；银灰短发，真实细纹，稳重目光，朴素克制；不做精致贵妇感</x:v>
      </x:c>
      <x:c r="E11" s="57" t="str">
        <x:v>深灰外套＋炭灰上衣＋深色长裤</x:v>
      </x:c>
      <x:c r="F11" s="57" t="str">
        <x:v>银灰短发整齐；克制无修饰</x:v>
      </x:c>
      <x:c r="G11" s="57" t="str">
        <x:v>E25-E27同一夜完全连续</x:v>
      </x:c>
      <x:c r="H11" s="57" t="str">
        <x:v>E25、E26、E27</x:v>
      </x:c>
      <x:c r="I11" s="57" t="str">
        <x:v>CONT-DOT-G</x:v>
      </x:c>
      <x:c r="J11" s="57" t="str">
        <x:v>P0</x:v>
      </x:c>
      <x:c r="K11" s="57" t="str">
        <x:v>待生成</x:v>
      </x:c>
      <x:c r="L11" s="57" t="str"/>
    </x:row>
    <x:row r="12" ht="42" customHeight="1">
      <x:c r="A12" s="57" t="str">
        <x:v>LOOK-DOT-08</x:v>
      </x:c>
      <x:c r="B12" s="57" t="str">
        <x:v>Dorothy “Dot” Bennett</x:v>
      </x:c>
      <x:c r="C12" s="57" t="str">
        <x:v>正式证词便装</x:v>
      </x:c>
      <x:c r="D12" s="57" t="str">
        <x:v>主角；72岁退休凶案警探；银灰短发，真实细纹，稳重目光，朴素克制；不做精致贵妇感</x:v>
      </x:c>
      <x:c r="E12" s="57" t="str">
        <x:v>深蓝西装外套＋浅灰衬衫＋深色长裤</x:v>
      </x:c>
      <x:c r="F12" s="57" t="str">
        <x:v>短发整齐；真实细纹；不英雄化</x:v>
      </x:c>
      <x:c r="G12" s="57" t="str">
        <x:v>无</x:v>
      </x:c>
      <x:c r="H12" s="57" t="str">
        <x:v>E28</x:v>
      </x:c>
      <x:c r="I12" s="57" t="str">
        <x:v>CONT-DOT-H</x:v>
      </x:c>
      <x:c r="J12" s="57" t="str">
        <x:v>P0</x:v>
      </x:c>
      <x:c r="K12" s="57" t="str">
        <x:v>待生成</x:v>
      </x:c>
      <x:c r="L12" s="57" t="str"/>
    </x:row>
    <x:row r="13" ht="42" customHeight="1">
      <x:c r="A13" s="57" t="str">
        <x:v>LOOK-DOT-09</x:v>
      </x:c>
      <x:c r="B13" s="57" t="str">
        <x:v>Dorothy “Dot” Bennett</x:v>
      </x:c>
      <x:c r="C13" s="57" t="str">
        <x:v>善后与港口结局大衣</x:v>
      </x:c>
      <x:c r="D13" s="57" t="str">
        <x:v>主角；72岁退休凶案警探；银灰短发，真实细纹，稳重目光，朴素克制；不做精致贵妇感</x:v>
      </x:c>
      <x:c r="E13" s="57" t="str">
        <x:v>炭灰大衣＋浅灰围巾＋深色长裤</x:v>
      </x:c>
      <x:c r="F13" s="57" t="str">
        <x:v>短发柔和；比前期松弛</x:v>
      </x:c>
      <x:c r="G13" s="57" t="str">
        <x:v>干燥</x:v>
      </x:c>
      <x:c r="H13" s="57" t="str">
        <x:v>E29、E30</x:v>
      </x:c>
      <x:c r="I13" s="57" t="str">
        <x:v>CONT-DOT-I</x:v>
      </x:c>
      <x:c r="J13" s="57" t="str">
        <x:v>P0</x:v>
      </x:c>
      <x:c r="K13" s="57" t="str">
        <x:v>待生成</x:v>
      </x:c>
      <x:c r="L13" s="57" t="str"/>
    </x:row>
    <x:row r="14" ht="42" customHeight="1">
      <x:c r="A14" s="57" t="str">
        <x:v>LOOK-DOT-10</x:v>
      </x:c>
      <x:c r="B14" s="57" t="str">
        <x:v>Dorothy “Dot” Bennett</x:v>
      </x:c>
      <x:c r="C14" s="57" t="str">
        <x:v>1989年轻警探档案版</x:v>
      </x:c>
      <x:c r="D14" s="57" t="str">
        <x:v>主角；72岁退休凶案警探；银灰短发，真实细纹，稳重目光，朴素克制；不做精致贵妇感</x:v>
      </x:c>
      <x:c r="E14" s="57" t="str">
        <x:v>1989年米灰风衣/便服西装＋浅色衬衫</x:v>
      </x:c>
      <x:c r="F14" s="57" t="str">
        <x:v>年轻版深棕短发；与老年Dot保持骨相继承</x:v>
      </x:c>
      <x:c r="G14" s="57" t="str">
        <x:v>仅档案照片/可选回忆，不默认实体出镜</x:v>
      </x:c>
      <x:c r="H14" s="57" t="str">
        <x:v>E03、E11、E17、E28</x:v>
      </x:c>
      <x:c r="I14" s="57" t="str">
        <x:v>CONT-1989-DOT</x:v>
      </x:c>
      <x:c r="J14" s="57" t="str">
        <x:v>P1</x:v>
      </x:c>
      <x:c r="K14" s="57" t="str">
        <x:v>待生成</x:v>
      </x:c>
      <x:c r="L14" s="57" t="str"/>
    </x:row>
    <x:row r="15" ht="42" customHeight="1">
      <x:c r="A15" s="57" t="str">
        <x:v>LOOK-MEG-01</x:v>
      </x:c>
      <x:c r="B15" s="57" t="str">
        <x:v>Megan Torres</x:v>
      </x:c>
      <x:c r="C15" s="57" t="str">
        <x:v>案发当夜夹克装（干/湿状态）</x:v>
      </x:c>
      <x:c r="D15" s="57" t="str">
        <x:v>关键人物；27岁拉丁裔女性；深棕发，灵动眼神，现代年轻感；机灵幽默、珍视自由</x:v>
      </x:c>
      <x:c r="E15" s="57" t="str">
        <x:v>深色短夹克＋暗色T恤＋牛仔裤＋旧运动鞋；佩戴细银链</x:v>
      </x:c>
      <x:c r="F15" s="57" t="str">
        <x:v>深棕发；公寓/餐厅干发版；港口湿发版；手机影像使用同一造型</x:v>
      </x:c>
      <x:c r="G15" s="57" t="str">
        <x:v>干燥版、雨湿版、落水湿透替代版；担架遮盖版无银链</x:v>
      </x:c>
      <x:c r="H15" s="57" t="str">
        <x:v>E01、E05、E09、E18、E19、E20、E21、E29</x:v>
      </x:c>
      <x:c r="I15" s="57" t="str">
        <x:v>CONT-MEG-NIGHT</x:v>
      </x:c>
      <x:c r="J15" s="57" t="str">
        <x:v>P0</x:v>
      </x:c>
      <x:c r="K15" s="57" t="str">
        <x:v>待生成</x:v>
      </x:c>
      <x:c r="L15" s="57" t="str"/>
    </x:row>
    <x:row r="16" ht="42" customHeight="1">
      <x:c r="A16" s="57" t="str">
        <x:v>LOOK-FRK-01</x:v>
      </x:c>
      <x:c r="B16" s="57" t="str">
        <x:v>Frank DeLuca</x:v>
      </x:c>
      <x:c r="C16" s="57" t="str">
        <x:v>驼色外套·体面日常</x:v>
      </x:c>
      <x:c r="D16" s="57" t="str">
        <x:v>核心反派；70岁退休警探/社区善人；白发整齐，温和眼型，体面但不富豪化；控制欲隐藏在体贴中</x:v>
      </x:c>
      <x:c r="E16" s="57" t="str">
        <x:v>驼色/深棕羊毛外套＋蓝灰衬衫＋深色长裤＋整洁皮鞋</x:v>
      </x:c>
      <x:c r="F16" s="57" t="str">
        <x:v>白发始终梳理整齐；温和眼型；干净修面</x:v>
      </x:c>
      <x:c r="G16" s="57" t="str">
        <x:v>E06鞋底红锈粉；E22-E23眼神降温；E25-E27短暂失控但不狼狈化</x:v>
      </x:c>
      <x:c r="H16" s="57" t="str">
        <x:v>E06、E22、E23、E24、E25、E26、E27</x:v>
      </x:c>
      <x:c r="I16" s="57" t="str">
        <x:v>CONT-FRK-CORE</x:v>
      </x:c>
      <x:c r="J16" s="57" t="str">
        <x:v>P0</x:v>
      </x:c>
      <x:c r="K16" s="57" t="str">
        <x:v>待生成</x:v>
      </x:c>
      <x:c r="L16" s="57" t="str"/>
    </x:row>
    <x:row r="17" ht="42" customHeight="1">
      <x:c r="A17" s="57" t="str">
        <x:v>LOOK-FRK-02</x:v>
      </x:c>
      <x:c r="B17" s="57" t="str">
        <x:v>Frank DeLuca</x:v>
      </x:c>
      <x:c r="C17" s="57" t="str">
        <x:v>疗养院浅灰西装</x:v>
      </x:c>
      <x:c r="D17" s="57" t="str">
        <x:v>核心反派；70岁退休警探/社区善人；白发整齐，温和眼型，体面但不富豪化；控制欲隐藏在体贴中</x:v>
      </x:c>
      <x:c r="E17" s="57" t="str">
        <x:v>浅灰西装夹克＋柔蓝衬衫＋深色长裤</x:v>
      </x:c>
      <x:c r="F17" s="57" t="str">
        <x:v>白发整齐；亲和淡笑</x:v>
      </x:c>
      <x:c r="G17" s="57" t="str">
        <x:v>无</x:v>
      </x:c>
      <x:c r="H17" s="57" t="str">
        <x:v>E13</x:v>
      </x:c>
      <x:c r="I17" s="57" t="str">
        <x:v>CONT-FRK-B</x:v>
      </x:c>
      <x:c r="J17" s="57" t="str">
        <x:v>P0</x:v>
      </x:c>
      <x:c r="K17" s="57" t="str">
        <x:v>待生成</x:v>
      </x:c>
      <x:c r="L17" s="57" t="str"/>
    </x:row>
    <x:row r="18" ht="42" customHeight="1">
      <x:c r="A18" s="57" t="str">
        <x:v>LOOK-FRK-05</x:v>
      </x:c>
      <x:c r="B18" s="57" t="str">
        <x:v>Frank DeLuca</x:v>
      </x:c>
      <x:c r="C18" s="57" t="str">
        <x:v>1989年轻警探档案版</x:v>
      </x:c>
      <x:c r="D18" s="57" t="str">
        <x:v>核心反派；70岁退休警探/社区善人；白发整齐，温和眼型，体面但不富豪化；控制欲隐藏在体贴中</x:v>
      </x:c>
      <x:c r="E18" s="57" t="str">
        <x:v>1989深色便服西装/风衣＋衬衫＋领带</x:v>
      </x:c>
      <x:c r="F18" s="57" t="str">
        <x:v>年轻版深色整齐短发；与70岁Frank骨相继承</x:v>
      </x:c>
      <x:c r="G18" s="57" t="str">
        <x:v>主要作老照片/档案画面</x:v>
      </x:c>
      <x:c r="H18" s="57" t="str">
        <x:v>E03、E11、E16、E17、E28</x:v>
      </x:c>
      <x:c r="I18" s="57" t="str">
        <x:v>CONT-1989-FRK</x:v>
      </x:c>
      <x:c r="J18" s="57" t="str">
        <x:v>P1</x:v>
      </x:c>
      <x:c r="K18" s="57" t="str">
        <x:v>待生成</x:v>
      </x:c>
      <x:c r="L18" s="57" t="str"/>
    </x:row>
    <x:row r="19" ht="42" customHeight="1">
      <x:c r="A19" s="57" t="str">
        <x:v>LOOK-DAN-01</x:v>
      </x:c>
      <x:c r="B19" s="57" t="str">
        <x:v>Daniel DeLuca</x:v>
      </x:c>
      <x:c r="C19" s="57" t="str">
        <x:v>港口维修工作造型</x:v>
      </x:c>
      <x:c r="D19" s="57" t="str">
        <x:v>重要配角；40岁港口维修承包商；工人型体态、短发、手部粗糙；焦虑、服从父亲</x:v>
      </x:c>
      <x:c r="E19" s="57" t="str">
        <x:v>海军蓝工装外套/反光背心＋工作衬衫＋工装裤＋工装靴</x:v>
      </x:c>
      <x:c r="F19" s="57" t="str">
        <x:v>短发；手部粗糙；焦虑出汗</x:v>
      </x:c>
      <x:c r="G19" s="57" t="str">
        <x:v>手腕有新鲜抓痕</x:v>
      </x:c>
      <x:c r="H19" s="57" t="str">
        <x:v>E15、E19</x:v>
      </x:c>
      <x:c r="I19" s="57" t="str">
        <x:v>CONT-DAN-A</x:v>
      </x:c>
      <x:c r="J19" s="57" t="str">
        <x:v>P0</x:v>
      </x:c>
      <x:c r="K19" s="57" t="str">
        <x:v>待生成</x:v>
      </x:c>
      <x:c r="L19" s="57" t="str"/>
    </x:row>
    <x:row r="20" ht="42" customHeight="1">
      <x:c r="A20" s="57" t="str">
        <x:v>LOOK-DAN-02</x:v>
      </x:c>
      <x:c r="B20" s="57" t="str">
        <x:v>Daniel DeLuca</x:v>
      </x:c>
      <x:c r="C20" s="57" t="str">
        <x:v>讯问室去外套版</x:v>
      </x:c>
      <x:c r="D20" s="57" t="str">
        <x:v>重要配角；40岁港口维修承包商；工人型体态、短发、手部粗糙；焦虑、服从父亲</x:v>
      </x:c>
      <x:c r="E20" s="57" t="str">
        <x:v>深蓝工作衬衫＋工装裤，去掉外套与反光背心</x:v>
      </x:c>
      <x:c r="F20" s="57" t="str">
        <x:v>短发汗湿；胡茬轻微；逐步崩溃</x:v>
      </x:c>
      <x:c r="G20" s="57" t="str">
        <x:v>抓痕较E15变淡；E20-E21同一夜</x:v>
      </x:c>
      <x:c r="H20" s="57" t="str">
        <x:v>E20、E21</x:v>
      </x:c>
      <x:c r="I20" s="57" t="str">
        <x:v>CONT-DAN-B</x:v>
      </x:c>
      <x:c r="J20" s="57" t="str">
        <x:v>P0</x:v>
      </x:c>
      <x:c r="K20" s="57" t="str">
        <x:v>待生成</x:v>
      </x:c>
      <x:c r="L20" s="57" t="str"/>
    </x:row>
    <x:row r="21" ht="42" customHeight="1">
      <x:c r="A21" s="57" t="str">
        <x:v>LOOK-RAY-01</x:v>
      </x:c>
      <x:c r="B21" s="57" t="str">
        <x:v>Detective Ray Callahan</x:v>
      </x:c>
      <x:c r="C21" s="57" t="str">
        <x:v>港口防水警探造型</x:v>
      </x:c>
      <x:c r="D21" s="57" t="str">
        <x:v>重要配角；45岁本地警探；整洁短发、中等体型，疲惫但可信；职业克制</x:v>
      </x:c>
      <x:c r="E21" s="57" t="str">
        <x:v>深色防水便服外套＋深色长裤＋警探证件</x:v>
      </x:c>
      <x:c r="F21" s="57" t="str">
        <x:v>整洁短发；疲惫但可信</x:v>
      </x:c>
      <x:c r="G21" s="57" t="str">
        <x:v>外套轻微雨湿</x:v>
      </x:c>
      <x:c r="H21" s="57" t="str">
        <x:v>E01</x:v>
      </x:c>
      <x:c r="I21" s="57" t="str">
        <x:v>CONT-RAY-A</x:v>
      </x:c>
      <x:c r="J21" s="57" t="str">
        <x:v>P0</x:v>
      </x:c>
      <x:c r="K21" s="57" t="str">
        <x:v>待生成</x:v>
      </x:c>
      <x:c r="L21" s="57" t="str"/>
    </x:row>
    <x:row r="22" ht="42" customHeight="1">
      <x:c r="A22" s="57" t="str">
        <x:v>LOOK-RAY-02</x:v>
      </x:c>
      <x:c r="B22" s="57" t="str">
        <x:v>Detective Ray Callahan</x:v>
      </x:c>
      <x:c r="C22" s="57" t="str">
        <x:v>日常便服警探/监听行动</x:v>
      </x:c>
      <x:c r="D22" s="57" t="str">
        <x:v>重要配角；45岁本地警探；整洁短发、中等体型，疲惫但可信；职业克制</x:v>
      </x:c>
      <x:c r="E22" s="57" t="str">
        <x:v>深蓝西装外套/便服夹克＋白或浅蓝衬衫＋深色长裤</x:v>
      </x:c>
      <x:c r="F22" s="57" t="str">
        <x:v>整洁短发；少修饰</x:v>
      </x:c>
      <x:c r="G22" s="57" t="str">
        <x:v>E25-E27加通讯耳机，作为同套服装的配件状态</x:v>
      </x:c>
      <x:c r="H22" s="57" t="str">
        <x:v>E02、E12、E14、E18、E19、E24、E25、E26、E27、E28</x:v>
      </x:c>
      <x:c r="I22" s="57" t="str">
        <x:v>CONT-RAY-B</x:v>
      </x:c>
      <x:c r="J22" s="57" t="str">
        <x:v>P0</x:v>
      </x:c>
      <x:c r="K22" s="57" t="str">
        <x:v>待生成</x:v>
      </x:c>
      <x:c r="L22" s="57" t="str"/>
    </x:row>
    <x:row r="23" ht="42" customHeight="1">
      <x:c r="A23" s="57" t="str">
        <x:v>LOOK-RAY-03</x:v>
      </x:c>
      <x:c r="B23" s="57" t="str">
        <x:v>Detective Ray Callahan</x:v>
      </x:c>
      <x:c r="C23" s="57" t="str">
        <x:v>讯问室卷袖版</x:v>
      </x:c>
      <x:c r="D23" s="57" t="str">
        <x:v>重要配角；45岁本地警探；整洁短发、中等体型，疲惫但可信；职业克制</x:v>
      </x:c>
      <x:c r="E23" s="57" t="str">
        <x:v>浅色衬衫卷袖＋松领带＋深色长裤</x:v>
      </x:c>
      <x:c r="F23" s="57" t="str">
        <x:v>短发略乱；凌晨疲惫</x:v>
      </x:c>
      <x:c r="G23" s="57" t="str">
        <x:v>E20-E21同一夜</x:v>
      </x:c>
      <x:c r="H23" s="57" t="str">
        <x:v>E20、E21</x:v>
      </x:c>
      <x:c r="I23" s="57" t="str">
        <x:v>CONT-RAY-C</x:v>
      </x:c>
      <x:c r="J23" s="57" t="str">
        <x:v>P0</x:v>
      </x:c>
      <x:c r="K23" s="57" t="str">
        <x:v>待生成</x:v>
      </x:c>
      <x:c r="L23" s="57" t="str"/>
    </x:row>
    <x:row r="24" ht="42" customHeight="1">
      <x:c r="A24" s="57" t="str">
        <x:v>LOOK-SUS-01</x:v>
      </x:c>
      <x:c r="B24" s="57" t="str">
        <x:v>Susan Bennett</x:v>
      </x:c>
      <x:c r="C24" s="57" t="str">
        <x:v>家中厨房造型</x:v>
      </x:c>
      <x:c r="D24" s="57" t="str">
        <x:v>配角；50岁Claire母亲、Dot女儿；与两人有家族骨相，温和疲惫</x:v>
      </x:c>
      <x:c r="E24" s="57" t="str">
        <x:v>米色针织衫＋素色长裤＋居家平底鞋</x:v>
      </x:c>
      <x:c r="F24" s="57" t="str">
        <x:v>与Claire/Dot有家族骨相；温和疲惫</x:v>
      </x:c>
      <x:c r="G24" s="57" t="str">
        <x:v>无</x:v>
      </x:c>
      <x:c r="H24" s="57" t="str">
        <x:v>E02</x:v>
      </x:c>
      <x:c r="I24" s="57" t="str">
        <x:v>CONT-SUS-A</x:v>
      </x:c>
      <x:c r="J24" s="57" t="str">
        <x:v>P1</x:v>
      </x:c>
      <x:c r="K24" s="57" t="str">
        <x:v>待生成</x:v>
      </x:c>
      <x:c r="L24" s="57" t="str"/>
    </x:row>
    <x:row r="25" ht="42" customHeight="1">
      <x:c r="A25" s="57" t="str">
        <x:v>LOOK-SUS-02</x:v>
      </x:c>
      <x:c r="B25" s="57" t="str">
        <x:v>Susan Bennett</x:v>
      </x:c>
      <x:c r="C25" s="57" t="str">
        <x:v>检察官办公室正式便装</x:v>
      </x:c>
      <x:c r="D25" s="57" t="str">
        <x:v>配角；50岁Claire母亲、Dot女儿；与两人有家族骨相，温和疲惫</x:v>
      </x:c>
      <x:c r="E25" s="57" t="str">
        <x:v>米色大衣/开衫＋浅色上衣＋深色长裤</x:v>
      </x:c>
      <x:c r="F25" s="57" t="str">
        <x:v>头发整齐；淡妆；克制泪意</x:v>
      </x:c>
      <x:c r="G25" s="57" t="str">
        <x:v>无</x:v>
      </x:c>
      <x:c r="H25" s="57" t="str">
        <x:v>E28</x:v>
      </x:c>
      <x:c r="I25" s="57" t="str">
        <x:v>CONT-SUS-B</x:v>
      </x:c>
      <x:c r="J25" s="57" t="str">
        <x:v>P1</x:v>
      </x:c>
      <x:c r="K25" s="57" t="str">
        <x:v>待生成</x:v>
      </x:c>
      <x:c r="L25" s="57" t="str"/>
    </x:row>
    <x:row r="26" ht="42" customHeight="1">
      <x:c r="A26" s="57" t="str">
        <x:v>LOOK-EDD-01</x:v>
      </x:c>
      <x:c r="B26" s="57" t="str">
        <x:v>Eddie Caruso</x:v>
      </x:c>
      <x:c r="C26" s="57" t="str">
        <x:v>出租屋老年版</x:v>
      </x:c>
      <x:c r="D26" s="57" t="str">
        <x:v>重要配角；68岁旧案劫匪；花白胡茬、深眼袋、偏瘦，粗粝病弱；不做黑帮感</x:v>
      </x:c>
      <x:c r="E26" s="57" t="str">
        <x:v>褪色旧夹克/开衫＋素T恤＋旧长裤</x:v>
      </x:c>
      <x:c r="F26" s="57" t="str">
        <x:v>花白胡茬；深眼袋；偏瘦；不做黑帮感</x:v>
      </x:c>
      <x:c r="G26" s="57" t="str">
        <x:v>病弱、疲惫</x:v>
      </x:c>
      <x:c r="H26" s="57" t="str">
        <x:v>E08、E16</x:v>
      </x:c>
      <x:c r="I26" s="57" t="str">
        <x:v>CONT-EDD-A</x:v>
      </x:c>
      <x:c r="J26" s="57" t="str">
        <x:v>P1</x:v>
      </x:c>
      <x:c r="K26" s="57" t="str">
        <x:v>待生成</x:v>
      </x:c>
      <x:c r="L26" s="57" t="str"/>
    </x:row>
    <x:row r="27" ht="42" customHeight="1">
      <x:c r="A27" s="57" t="str">
        <x:v>LOOK-EDD-02</x:v>
      </x:c>
      <x:c r="B27" s="57" t="str">
        <x:v>Eddie Caruso</x:v>
      </x:c>
      <x:c r="C27" s="57" t="str">
        <x:v>1989劫匪档案照片</x:v>
      </x:c>
      <x:c r="D27" s="57" t="str">
        <x:v>重要配角；68岁旧案劫匪；花白胡茬、深眼袋、偏瘦，粗粝病弱；不做黑帮感</x:v>
      </x:c>
      <x:c r="E27" s="57" t="str">
        <x:v>1989年廉价夹克＋格纹衬衫；档案号牌可选</x:v>
      </x:c>
      <x:c r="F27" s="57" t="str">
        <x:v>年轻深色发；与老年版骨相一致</x:v>
      </x:c>
      <x:c r="G27" s="57" t="str">
        <x:v>仅档案/新闻照片</x:v>
      </x:c>
      <x:c r="H27" s="57" t="str">
        <x:v>E03、E08、E16</x:v>
      </x:c>
      <x:c r="I27" s="57" t="str">
        <x:v>CONT-1989-EDD</x:v>
      </x:c>
      <x:c r="J27" s="57" t="str">
        <x:v>P2</x:v>
      </x:c>
      <x:c r="K27" s="57" t="str">
        <x:v>待生成</x:v>
      </x:c>
      <x:c r="L27" s="57" t="str"/>
    </x:row>
    <x:row r="28" ht="42" customHeight="1">
      <x:c r="A28" s="57" t="str">
        <x:v>LOOK-HAR-01</x:v>
      </x:c>
      <x:c r="B28" s="57" t="str">
        <x:v>M. Harlan</x:v>
      </x:c>
      <x:c r="C28" s="57" t="str">
        <x:v>修车厂工作造型</x:v>
      </x:c>
      <x:c r="D28" s="57" t="str">
        <x:v>单集配角；40–50岁宾州小镇居民；朴实、略疲惫，防御而谨慎</x:v>
      </x:c>
      <x:c r="E28" s="57" t="str">
        <x:v>旧工装外套＋格纹衬衫＋工装裤＋工装靴</x:v>
      </x:c>
      <x:c r="F28" s="57" t="str">
        <x:v>朴实、疲惫；发型实用</x:v>
      </x:c>
      <x:c r="G28" s="57" t="str">
        <x:v>手上少量机油污渍</x:v>
      </x:c>
      <x:c r="H28" s="57" t="str">
        <x:v>E07</x:v>
      </x:c>
      <x:c r="I28" s="57" t="str">
        <x:v>CONT-HAR-A</x:v>
      </x:c>
      <x:c r="J28" s="57" t="str">
        <x:v>P2</x:v>
      </x:c>
      <x:c r="K28" s="57" t="str">
        <x:v>待生成</x:v>
      </x:c>
      <x:c r="L28" s="57" t="str"/>
    </x:row>
    <x:row r="29" ht="42" customHeight="1">
      <x:c r="A29" s="57" t="str">
        <x:v>LOOK-ROS-01</x:v>
      </x:c>
      <x:c r="B29" s="57" t="str">
        <x:v>Rossi餐厅老板</x:v>
      </x:c>
      <x:c r="C29" s="57" t="str">
        <x:v>餐厅老板工作造型</x:v>
      </x:c>
      <x:c r="D29" s="57" t="str">
        <x:v>配角；约60岁意裔社区餐厅经营者；谨慎但愿意协助</x:v>
      </x:c>
      <x:c r="E29" s="57" t="str">
        <x:v>深色围裙＋卷袖衬衫＋深色长裤＋防滑鞋</x:v>
      </x:c>
      <x:c r="F29" s="57" t="str">
        <x:v>约60岁意裔社区经营者感；自然白发</x:v>
      </x:c>
      <x:c r="G29" s="57" t="str">
        <x:v>后厨版可加少量水渍</x:v>
      </x:c>
      <x:c r="H29" s="57" t="str">
        <x:v>E10、E19</x:v>
      </x:c>
      <x:c r="I29" s="57" t="str">
        <x:v>CONT-ROS-A</x:v>
      </x:c>
      <x:c r="J29" s="57" t="str">
        <x:v>P1</x:v>
      </x:c>
      <x:c r="K29" s="57" t="str">
        <x:v>待生成</x:v>
      </x:c>
      <x:c r="L29" s="57" t="str"/>
    </x:row>
    <x:row r="30" ht="42" customHeight="1">
      <x:c r="A30" s="57" t="str">
        <x:v>LOOK-WID-01</x:v>
      </x:c>
      <x:c r="B30" s="57" t="str">
        <x:v>Doyle遗孀</x:v>
      </x:c>
      <x:c r="C30" s="57" t="str">
        <x:v>疗养院常服</x:v>
      </x:c>
      <x:c r="D30" s="57" t="str">
        <x:v>配角；约70岁；虚弱、手微颤，知情但恐惧</x:v>
      </x:c>
      <x:c r="E30" s="57" t="str">
        <x:v>浅灰针织开衫＋素色病号便装＋软底鞋</x:v>
      </x:c>
      <x:c r="F30" s="57" t="str">
        <x:v>约70岁；虚弱；手微颤；病弱淡妆</x:v>
      </x:c>
      <x:c r="G30" s="57" t="str">
        <x:v>无</x:v>
      </x:c>
      <x:c r="H30" s="57" t="str">
        <x:v>E12、E13</x:v>
      </x:c>
      <x:c r="I30" s="57" t="str">
        <x:v>CONT-WID-A</x:v>
      </x:c>
      <x:c r="J30" s="57" t="str">
        <x:v>P2</x:v>
      </x:c>
      <x:c r="K30" s="57" t="str">
        <x:v>待生成</x:v>
      </x:c>
      <x:c r="L30" s="57" t="str"/>
    </x:row>
    <x:row r="31" ht="42" customHeight="1">
      <x:c r="A31" s="57" t="str">
        <x:v>LOOK-DOY-01</x:v>
      </x:c>
      <x:c r="B31" s="57" t="str">
        <x:v>Franklin Doyle</x:v>
      </x:c>
      <x:c r="C31" s="57" t="str">
        <x:v>1989银行保安档案版</x:v>
      </x:c>
      <x:c r="D31" s="57" t="str">
        <x:v>档案人物；1989年中年银行保安；仅需档案照片质感</x:v>
      </x:c>
      <x:c r="E31" s="57" t="str">
        <x:v>1989银行保安制服＋帽章＋名牌</x:v>
      </x:c>
      <x:c r="F31" s="57" t="str">
        <x:v>中年男性；档案照质感</x:v>
      </x:c>
      <x:c r="G31" s="57" t="str">
        <x:v>非实体出镜</x:v>
      </x:c>
      <x:c r="H31" s="57" t="str">
        <x:v>E12</x:v>
      </x:c>
      <x:c r="I31" s="57" t="str">
        <x:v>CONT-1989-DOY</x:v>
      </x:c>
      <x:c r="J31" s="57" t="str">
        <x:v>P2</x:v>
      </x:c>
      <x:c r="K31" s="57" t="str">
        <x:v>待生成</x:v>
      </x:c>
      <x:c r="L31" s="57" t="str"/>
    </x:row>
    <x:row r="32" ht="42" customHeight="1">
      <x:c r="A32" s="58" t="str">
        <x:v>LOOK-LEO-01</x:v>
      </x:c>
      <x:c r="B32" s="58" t="str">
        <x:v>Leo DeLuca</x:v>
      </x:c>
      <x:c r="C32" s="58" t="str">
        <x:v>1989县警副手档案版</x:v>
      </x:c>
      <x:c r="D32" s="58" t="str">
        <x:v>档案人物；Frank哥哥、1989年县警副手；与Frank有兄弟骨相；仅需档案照片质感</x:v>
      </x:c>
      <x:c r="E32" s="58" t="str">
        <x:v>1989县警制服＋肩章＋徽章＋装备腰带</x:v>
      </x:c>
      <x:c r="F32" s="58" t="str">
        <x:v>与Frank有兄弟骨相；年代短发</x:v>
      </x:c>
      <x:c r="G32" s="58" t="str">
        <x:v>非实体出镜</x:v>
      </x:c>
      <x:c r="H32" s="58" t="str">
        <x:v>E16</x:v>
      </x:c>
      <x:c r="I32" s="58" t="str">
        <x:v>CONT-1989-LEO</x:v>
      </x:c>
      <x:c r="J32" s="58" t="str">
        <x:v>P2</x:v>
      </x:c>
      <x:c r="K32" s="58" t="str">
        <x:v>待生成</x:v>
      </x:c>
      <x:c r="L32" s="58" t="str"/>
    </x:row>
  </x:sheetData>
  <x:dataValidations count="2">
    <x:dataValidation type="list" sqref="J2:J500">
      <x:formula1>"P0,P1,P2"</x:formula1>
    </x:dataValidation>
    <x:dataValidation type="list" sqref="K2:K500">
      <x:formula1>"待生成,生成中,待审核,已锁定,需返工"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9255daa4c34a5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0" hidden="0" customWidth="1"/>
    <x:col min="3" max="3" width="17" hidden="0" customWidth="1"/>
    <x:col min="4" max="4" width="55" hidden="0" customWidth="1"/>
    <x:col min="5" max="5" width="10" hidden="0" customWidth="1"/>
    <x:col min="6" max="6" width="20" hidden="0" customWidth="1"/>
    <x:col min="7" max="7" width="25" hidden="0" customWidth="1"/>
    <x:col min="8" max="8" width="10" hidden="0" customWidth="1"/>
    <x:col min="9" max="9" width="50" hidden="0" customWidth="1"/>
    <x:col min="10" max="10" width="13" hidden="0" customWidth="1"/>
    <x:col min="11" max="11" width="18" hidden="0" customWidth="1"/>
  </x:cols>
  <x:sheetData>
    <x:row r="1" ht="30" customHeight="1">
      <x:c r="A1" s="59" t="str">
        <x:v>资产ID</x:v>
      </x:c>
      <x:c r="B1" s="60" t="str">
        <x:v>场景名称</x:v>
      </x:c>
      <x:c r="C1" s="60" t="str">
        <x:v>场景级别</x:v>
      </x:c>
      <x:c r="D1" s="60" t="str">
        <x:v>视觉设计</x:v>
      </x:c>
      <x:c r="E1" s="60" t="str">
        <x:v>内外景</x:v>
      </x:c>
      <x:c r="F1" s="60" t="str">
        <x:v>时段|天气</x:v>
      </x:c>
      <x:c r="G1" s="60" t="str">
        <x:v>涉及集数</x:v>
      </x:c>
      <x:c r="H1" s="60" t="str">
        <x:v>优先级</x:v>
      </x:c>
      <x:c r="I1" s="60" t="str">
        <x:v>连续性|搭建要求</x:v>
      </x:c>
      <x:c r="J1" s="60" t="str">
        <x:v>状态</x:v>
      </x:c>
      <x:c r="K1" s="61" t="str">
        <x:v>资产图</x:v>
      </x:c>
    </x:row>
    <x:row r="2" ht="42" customHeight="1">
      <x:c r="A2" s="56" t="str">
        <x:v>SCN-001</x:v>
      </x:c>
      <x:c r="B2" s="56" t="str">
        <x:v>灰港港口·九号码头</x:v>
      </x:c>
      <x:c r="C2" s="56" t="str">
        <x:v>核心外景</x:v>
      </x:c>
      <x:c r="D2" s="56" t="str">
        <x:v>宾州海港小镇工业码头；黑水、锈红栏杆、金属梯、维修灯、远处仓库</x:v>
      </x:c>
      <x:c r="E2" s="56" t="str">
        <x:v>外景</x:v>
      </x:c>
      <x:c r="F2" s="56" t="str">
        <x:v>清晨/夜/雨后</x:v>
      </x:c>
      <x:c r="G2" s="56" t="str">
        <x:v>E01,E15,E19-E21,E30</x:v>
      </x:c>
      <x:c r="H2" s="56" t="str">
        <x:v>P0</x:v>
      </x:c>
      <x:c r="I2" s="56" t="str">
        <x:v>同一栏杆、梯子、Pier Nine标识必须连续；建立白天、夜雨、案后清晨三套灯光</x:v>
      </x:c>
      <x:c r="J2" s="56" t="str">
        <x:v>待生成</x:v>
      </x:c>
      <x:c r="K2" s="56" t="str"/>
    </x:row>
    <x:row r="3" ht="42" customHeight="1">
      <x:c r="A3" s="57" t="str">
        <x:v>SCN-002</x:v>
      </x:c>
      <x:c r="B3" s="57" t="str">
        <x:v>Claire公寓·客厅/卧室</x:v>
      </x:c>
      <x:c r="C3" s="57" t="str">
        <x:v>核心内景</x:v>
      </x:c>
      <x:c r="D3" s="57" t="str">
        <x:v>普通年轻女性租住公寓，温暖但不富裕；Megan生活痕迹逐步减少</x:v>
      </x:c>
      <x:c r="E3" s="57" t="str">
        <x:v>内景</x:v>
      </x:c>
      <x:c r="F3" s="57" t="str">
        <x:v>前夜/黄昏/夜</x:v>
      </x:c>
      <x:c r="G3" s="57" t="str">
        <x:v>E01,E29</x:v>
      </x:c>
      <x:c r="H3" s="57" t="str">
        <x:v>P0</x:v>
      </x:c>
      <x:c r="I3" s="57" t="str">
        <x:v>门口固定可放行李箱；E01回忆色温略暖；E29手机语音收听位固定</x:v>
      </x:c>
      <x:c r="J3" s="57" t="str">
        <x:v>待生成</x:v>
      </x:c>
      <x:c r="K3" s="57" t="str"/>
    </x:row>
    <x:row r="4" ht="42" customHeight="1">
      <x:c r="A4" s="57" t="str">
        <x:v>SCN-003</x:v>
      </x:c>
      <x:c r="B4" s="57" t="str">
        <x:v>Susan家·厨房</x:v>
      </x:c>
      <x:c r="C4" s="57" t="str">
        <x:v>常用内景</x:v>
      </x:c>
      <x:c r="D4" s="57" t="str">
        <x:v>普通中产厨房，家庭感、暖黄灯，承载三代关系</x:v>
      </x:c>
      <x:c r="E4" s="57" t="str">
        <x:v>内景</x:v>
      </x:c>
      <x:c r="F4" s="57" t="str">
        <x:v>傍晚</x:v>
      </x:c>
      <x:c r="G4" s="57" t="str">
        <x:v>E02</x:v>
      </x:c>
      <x:c r="H4" s="57" t="str">
        <x:v>P1</x:v>
      </x:c>
      <x:c r="I4" s="57" t="str">
        <x:v>可与Dot厨房局部改景复用，但橱柜与墙色需明显区分</x:v>
      </x:c>
      <x:c r="J4" s="57" t="str">
        <x:v>待生成</x:v>
      </x:c>
      <x:c r="K4" s="57" t="str"/>
    </x:row>
    <x:row r="5" ht="42" customHeight="1">
      <x:c r="A5" s="57" t="str">
        <x:v>SCN-004</x:v>
      </x:c>
      <x:c r="B5" s="57" t="str">
        <x:v>Dot家·书房</x:v>
      </x:c>
      <x:c r="C5" s="57" t="str">
        <x:v>核心内景</x:v>
      </x:c>
      <x:c r="D5" s="57" t="str">
        <x:v>老警探的秩序感：木书桌、整齐旧案卷、文件柜、老照片、台灯</x:v>
      </x:c>
      <x:c r="E5" s="57" t="str">
        <x:v>内景</x:v>
      </x:c>
      <x:c r="F5" s="57" t="str">
        <x:v>夜/深夜</x:v>
      </x:c>
      <x:c r="G5" s="57" t="str">
        <x:v>E03,E11</x:v>
      </x:c>
      <x:c r="H5" s="57" t="str">
        <x:v>P0</x:v>
      </x:c>
      <x:c r="I5" s="57" t="str">
        <x:v>案卷、旧箱和桌灯位置固定；E17实际在Dot家厨房</x:v>
      </x:c>
      <x:c r="J5" s="57" t="str">
        <x:v>待生成</x:v>
      </x:c>
      <x:c r="K5" s="57" t="str"/>
    </x:row>
    <x:row r="6" ht="42" customHeight="1">
      <x:c r="A6" s="57" t="str">
        <x:v>SCN-005</x:v>
      </x:c>
      <x:c r="B6" s="57" t="str">
        <x:v>Dot家·客厅/厨房/门廊</x:v>
      </x:c>
      <x:c r="C6" s="57" t="str">
        <x:v>核心内景组</x:v>
      </x:c>
      <x:c r="D6" s="57" t="str">
        <x:v>朴素老宅，旧木与褪色布艺；门廊可拍威胁对话</x:v>
      </x:c>
      <x:c r="E6" s="57" t="str">
        <x:v>内/外衔接</x:v>
      </x:c>
      <x:c r="F6" s="57" t="str">
        <x:v>黄昏/雨夜/夜</x:v>
      </x:c>
      <x:c r="G6" s="57" t="str">
        <x:v>E06,E17,E23,E29</x:v>
      </x:c>
      <x:c r="H6" s="57" t="str">
        <x:v>P0</x:v>
      </x:c>
      <x:c r="I6" s="57" t="str">
        <x:v>建议同一房屋整套搭建；门廊可见屋内但听不清谈话</x:v>
      </x:c>
      <x:c r="J6" s="57" t="str">
        <x:v>待生成</x:v>
      </x:c>
      <x:c r="K6" s="57" t="str"/>
    </x:row>
    <x:row r="7" ht="42" customHeight="1">
      <x:c r="A7" s="57" t="str">
        <x:v>SCN-006</x:v>
      </x:c>
      <x:c r="B7" s="57" t="str">
        <x:v>旧货运场·Freight 214储物柜</x:v>
      </x:c>
      <x:c r="C7" s="57" t="str">
        <x:v>关键场景</x:v>
      </x:c>
      <x:c r="D7" s="57" t="str">
        <x:v>废弃货运场，铁门、灰尘、红色铁锈粉、远处火车；214标识醒目</x:v>
      </x:c>
      <x:c r="E7" s="57" t="str">
        <x:v>内/外</x:v>
      </x:c>
      <x:c r="F7" s="57" t="str">
        <x:v>白天/1989回忆</x:v>
      </x:c>
      <x:c r="G7" s="57" t="str">
        <x:v>E04</x:v>
      </x:c>
      <x:c r="H7" s="57" t="str">
        <x:v>P0</x:v>
      </x:c>
      <x:c r="I7" s="57" t="str">
        <x:v>214标识、红锈粉、柜内空置必须一致；E16仅口述旧事，非实际场景</x:v>
      </x:c>
      <x:c r="J7" s="57" t="str">
        <x:v>待生成</x:v>
      </x:c>
      <x:c r="K7" s="57" t="str"/>
    </x:row>
    <x:row r="8" ht="42" customHeight="1">
      <x:c r="A8" s="57" t="str">
        <x:v>SCN-007</x:v>
      </x:c>
      <x:c r="B8" s="57" t="str">
        <x:v>Megan公寓</x:v>
      </x:c>
      <x:c r="C8" s="57" t="str">
        <x:v>调查内景</x:v>
      </x:c>
      <x:c r="D8" s="57" t="str">
        <x:v>被重新整理得过分整齐；抽屉、松动踢脚线和隐藏夹层</x:v>
      </x:c>
      <x:c r="E8" s="57" t="str">
        <x:v>内景</x:v>
      </x:c>
      <x:c r="F8" s="57" t="str">
        <x:v>傍晚</x:v>
      </x:c>
      <x:c r="G8" s="57" t="str">
        <x:v>E05</x:v>
      </x:c>
      <x:c r="H8" s="57" t="str">
        <x:v>P1</x:v>
      </x:c>
      <x:c r="I8" s="57" t="str">
        <x:v>需设计可打开踢脚线夹层；与Claire公寓风格不同</x:v>
      </x:c>
      <x:c r="J8" s="57" t="str">
        <x:v>待生成</x:v>
      </x:c>
      <x:c r="K8" s="57" t="str"/>
    </x:row>
    <x:row r="9" ht="42" customHeight="1">
      <x:c r="A9" s="57" t="str">
        <x:v>SCN-008</x:v>
      </x:c>
      <x:c r="B9" s="57" t="str">
        <x:v>宾州小镇修车厂</x:v>
      </x:c>
      <x:c r="C9" s="57" t="str">
        <x:v>单集外/内景</x:v>
      </x:c>
      <x:c r="D9" s="57" t="str">
        <x:v>阴天小镇修车厂，油污、卷帘门、旧办公室</x:v>
      </x:c>
      <x:c r="E9" s="57" t="str">
        <x:v>内/外</x:v>
      </x:c>
      <x:c r="F9" s="57" t="str">
        <x:v>阴天白天</x:v>
      </x:c>
      <x:c r="G9" s="57" t="str">
        <x:v>E07</x:v>
      </x:c>
      <x:c r="H9" s="57" t="str">
        <x:v>P2</x:v>
      </x:c>
      <x:c r="I9" s="57" t="str">
        <x:v>可由港口维修办公室改景，但小镇感更旧、更私营</x:v>
      </x:c>
      <x:c r="J9" s="57" t="str">
        <x:v>待生成</x:v>
      </x:c>
      <x:c r="K9" s="57" t="str"/>
    </x:row>
    <x:row r="10" ht="42" customHeight="1">
      <x:c r="A10" s="57" t="str">
        <x:v>SCN-009</x:v>
      </x:c>
      <x:c r="B10" s="57" t="str">
        <x:v>Eddie出租屋·厨房/客厅</x:v>
      </x:c>
      <x:c r="C10" s="57" t="str">
        <x:v>重要内景</x:v>
      </x:c>
      <x:c r="D10" s="57" t="str">
        <x:v>狭小老旧出租屋，药瓶、收音机、旧家具；贫困但整洁</x:v>
      </x:c>
      <x:c r="E10" s="57" t="str">
        <x:v>内景</x:v>
      </x:c>
      <x:c r="F10" s="57" t="str">
        <x:v>夜</x:v>
      </x:c>
      <x:c r="G10" s="57" t="str">
        <x:v>E08,E16</x:v>
      </x:c>
      <x:c r="H10" s="57" t="str">
        <x:v>P1</x:v>
      </x:c>
      <x:c r="I10" s="57" t="str">
        <x:v>照明单一，突出人物而非犯罪巢穴感</x:v>
      </x:c>
      <x:c r="J10" s="57" t="str">
        <x:v>待生成</x:v>
      </x:c>
      <x:c r="K10" s="57" t="str"/>
    </x:row>
    <x:row r="11" ht="42" customHeight="1">
      <x:c r="A11" s="57" t="str">
        <x:v>SCN-010</x:v>
      </x:c>
      <x:c r="B11" s="57" t="str">
        <x:v>Claire车内/超市停车场</x:v>
      </x:c>
      <x:c r="C11" s="57" t="str">
        <x:v>调查场景</x:v>
      </x:c>
      <x:c r="D11" s="57" t="str">
        <x:v>普通旧轿车；夜间停车场冷白灯，车内中控和后视镜可拍特写</x:v>
      </x:c>
      <x:c r="E11" s="57" t="str">
        <x:v>内/外</x:v>
      </x:c>
      <x:c r="F11" s="57" t="str">
        <x:v>夜</x:v>
      </x:c>
      <x:c r="G11" s="57" t="str">
        <x:v>E09,E14</x:v>
      </x:c>
      <x:c r="H11" s="57" t="str">
        <x:v>P0</x:v>
      </x:c>
      <x:c r="I11" s="57" t="str">
        <x:v>车辆型号颜色固定；中控缝隙能藏锈粉，后视镜能留字</x:v>
      </x:c>
      <x:c r="J11" s="57" t="str">
        <x:v>待生成</x:v>
      </x:c>
      <x:c r="K11" s="57" t="str"/>
    </x:row>
    <x:row r="12" ht="42" customHeight="1">
      <x:c r="A12" s="57" t="str">
        <x:v>SCN-011</x:v>
      </x:c>
      <x:c r="B12" s="57" t="str">
        <x:v>Rossi老餐厅·前厅卡座</x:v>
      </x:c>
      <x:c r="C12" s="57" t="str">
        <x:v>核心内景</x:v>
      </x:c>
      <x:c r="D12" s="57" t="str">
        <x:v>老式社区餐厅：深色木、红棕卡座、点唱机、最里面卡座、街窗</x:v>
      </x:c>
      <x:c r="E12" s="57" t="str">
        <x:v>内景</x:v>
      </x:c>
      <x:c r="F12" s="57" t="str">
        <x:v>白天/夜</x:v>
      </x:c>
      <x:c r="G12" s="57" t="str">
        <x:v>E10,E19,E25-E27</x:v>
      </x:c>
      <x:c r="H12" s="57" t="str">
        <x:v>P0</x:v>
      </x:c>
      <x:c r="I12" s="57" t="str">
        <x:v>同一最内卡座贯穿真相；需可安排Claire/Frank与Dot背对、监听团队在外</x:v>
      </x:c>
      <x:c r="J12" s="57" t="str">
        <x:v>待生成</x:v>
      </x:c>
      <x:c r="K12" s="57" t="str"/>
    </x:row>
    <x:row r="13" ht="42" customHeight="1">
      <x:c r="A13" s="57" t="str">
        <x:v>SCN-012</x:v>
      </x:c>
      <x:c r="B13" s="57" t="str">
        <x:v>Rossi老餐厅·后厨/外墙监控位</x:v>
      </x:c>
      <x:c r="C13" s="57" t="str">
        <x:v>配套场景</x:v>
      </x:c>
      <x:c r="D13" s="57" t="str">
        <x:v>旧餐厅后厨、监控主机位、后门与街角外摄像头视角</x:v>
      </x:c>
      <x:c r="E13" s="57" t="str">
        <x:v>内/外</x:v>
      </x:c>
      <x:c r="F13" s="57" t="str">
        <x:v>晚/夜</x:v>
      </x:c>
      <x:c r="G13" s="57" t="str">
        <x:v>E10,E19</x:v>
      </x:c>
      <x:c r="H13" s="57" t="str">
        <x:v>P1</x:v>
      </x:c>
      <x:c r="I13" s="57" t="str">
        <x:v>硬盘拆卸位和23分钟缺失线索可视化</x:v>
      </x:c>
      <x:c r="J13" s="57" t="str">
        <x:v>待生成</x:v>
      </x:c>
      <x:c r="K13" s="57" t="str"/>
    </x:row>
    <x:row r="14" ht="42" customHeight="1">
      <x:c r="A14" s="57" t="str">
        <x:v>SCN-013</x:v>
      </x:c>
      <x:c r="B14" s="57" t="str">
        <x:v>警局·走廊/证物交接区</x:v>
      </x:c>
      <x:c r="C14" s="57" t="str">
        <x:v>常用内景</x:v>
      </x:c>
      <x:c r="D14" s="57" t="str">
        <x:v>县警局现实办公质感，冷灰、荧光灯、塑料椅、公告板</x:v>
      </x:c>
      <x:c r="E14" s="57" t="str">
        <x:v>内景</x:v>
      </x:c>
      <x:c r="F14" s="57" t="str">
        <x:v>白天/凌晨</x:v>
      </x:c>
      <x:c r="G14" s="57" t="str">
        <x:v>E02,E20-E21</x:v>
      </x:c>
      <x:c r="H14" s="57" t="str">
        <x:v>P0</x:v>
      </x:c>
      <x:c r="I14" s="57" t="str">
        <x:v>走廊可兼观察区入口；机构标识统一</x:v>
      </x:c>
      <x:c r="J14" s="57" t="str">
        <x:v>待生成</x:v>
      </x:c>
      <x:c r="K14" s="57" t="str"/>
    </x:row>
    <x:row r="15" ht="42" customHeight="1">
      <x:c r="A15" s="57" t="str">
        <x:v>SCN-014</x:v>
      </x:c>
      <x:c r="B15" s="57" t="str">
        <x:v>警局·讯问室/单向观察室</x:v>
      </x:c>
      <x:c r="C15" s="57" t="str">
        <x:v>核心内景</x:v>
      </x:c>
      <x:c r="D15" s="57" t="str">
        <x:v>简洁讯问桌、固定摄像头、单向玻璃，压迫但不过度电影化</x:v>
      </x:c>
      <x:c r="E15" s="57" t="str">
        <x:v>内景</x:v>
      </x:c>
      <x:c r="F15" s="57" t="str">
        <x:v>夜</x:v>
      </x:c>
      <x:c r="G15" s="57" t="str">
        <x:v>E20-E21</x:v>
      </x:c>
      <x:c r="H15" s="57" t="str">
        <x:v>P0</x:v>
      </x:c>
      <x:c r="I15" s="57" t="str">
        <x:v>讯问室与观察室视线轴严格一致</x:v>
      </x:c>
      <x:c r="J15" s="57" t="str">
        <x:v>待生成</x:v>
      </x:c>
      <x:c r="K15" s="57" t="str"/>
    </x:row>
    <x:row r="16" ht="42" customHeight="1">
      <x:c r="A16" s="57" t="str">
        <x:v>SCN-015</x:v>
      </x:c>
      <x:c r="B16" s="57" t="str">
        <x:v>县档案馆</x:v>
      </x:c>
      <x:c r="C16" s="57" t="str">
        <x:v>调查内景</x:v>
      </x:c>
      <x:c r="D16" s="57" t="str">
        <x:v>旧档案架、阅卷桌、纸质卷宗与扫描设备</x:v>
      </x:c>
      <x:c r="E16" s="57" t="str">
        <x:v>内景</x:v>
      </x:c>
      <x:c r="F16" s="57" t="str">
        <x:v>白天</x:v>
      </x:c>
      <x:c r="G16" s="57" t="str">
        <x:v>E12</x:v>
      </x:c>
      <x:c r="H16" s="57" t="str">
        <x:v>P1</x:v>
      </x:c>
      <x:c r="I16" s="57" t="str">
        <x:v>可与检察官数字实验室局部共享空间但美术色温区分</x:v>
      </x:c>
      <x:c r="J16" s="57" t="str">
        <x:v>待生成</x:v>
      </x:c>
      <x:c r="K16" s="57" t="str"/>
    </x:row>
    <x:row r="17" ht="42" customHeight="1">
      <x:c r="A17" s="57" t="str">
        <x:v>SCN-016</x:v>
      </x:c>
      <x:c r="B17" s="57" t="str">
        <x:v>疗养院会客室</x:v>
      </x:c>
      <x:c r="C17" s="57" t="str">
        <x:v>单集内景</x:v>
      </x:c>
      <x:c r="D17" s="57" t="str">
        <x:v>明亮安静、玻璃隔断、淡色家具，表面善意与暗中控制并存</x:v>
      </x:c>
      <x:c r="E17" s="57" t="str">
        <x:v>内景</x:v>
      </x:c>
      <x:c r="F17" s="57" t="str">
        <x:v>午后</x:v>
      </x:c>
      <x:c r="G17" s="57" t="str">
        <x:v>E13</x:v>
      </x:c>
      <x:c r="H17" s="57" t="str">
        <x:v>P2</x:v>
      </x:c>
      <x:c r="I17" s="57" t="str">
        <x:v>需隔玻璃观察构图</x:v>
      </x:c>
      <x:c r="J17" s="57" t="str">
        <x:v>待生成</x:v>
      </x:c>
      <x:c r="K17" s="57" t="str"/>
    </x:row>
    <x:row r="18" ht="42" customHeight="1">
      <x:c r="A18" s="57" t="str">
        <x:v>SCN-017</x:v>
      </x:c>
      <x:c r="B18" s="57" t="str">
        <x:v>港口维修办公室</x:v>
      </x:c>
      <x:c r="C18" s="57" t="str">
        <x:v>重要内景</x:v>
      </x:c>
      <x:c r="D18" s="57" t="str">
        <x:v>工装办公室，维修图、值班表、金属桌、墙上门禁记录</x:v>
      </x:c>
      <x:c r="E18" s="57" t="str">
        <x:v>内景</x:v>
      </x:c>
      <x:c r="F18" s="57" t="str">
        <x:v>白天</x:v>
      </x:c>
      <x:c r="G18" s="57" t="str">
        <x:v>E15</x:v>
      </x:c>
      <x:c r="H18" s="57" t="str">
        <x:v>P1</x:v>
      </x:c>
      <x:c r="I18" s="57" t="str">
        <x:v>桌沿供Daniel反复擦拭；能展示维修日志</x:v>
      </x:c>
      <x:c r="J18" s="57" t="str">
        <x:v>待生成</x:v>
      </x:c>
      <x:c r="K18" s="57" t="str"/>
    </x:row>
    <x:row r="19" ht="42" customHeight="1">
      <x:c r="A19" s="57" t="str">
        <x:v>SCN-018</x:v>
      </x:c>
      <x:c r="B19" s="57" t="str">
        <x:v>县检察官数字实验室</x:v>
      </x:c>
      <x:c r="C19" s="57" t="str">
        <x:v>调查内景</x:v>
      </x:c>
      <x:c r="D19" s="57" t="str">
        <x:v>波形恢复工作站、双屏电脑、证据审查区，可信而非科幻</x:v>
      </x:c>
      <x:c r="E19" s="57" t="str">
        <x:v>内景</x:v>
      </x:c>
      <x:c r="F19" s="57" t="str">
        <x:v>日</x:v>
      </x:c>
      <x:c r="G19" s="57" t="str">
        <x:v>E18</x:v>
      </x:c>
      <x:c r="H19" s="57" t="str">
        <x:v>P1</x:v>
      </x:c>
      <x:c r="I19" s="57" t="str">
        <x:v>屏幕需制作录音波形与缺失20秒UI</x:v>
      </x:c>
      <x:c r="J19" s="57" t="str">
        <x:v>待生成</x:v>
      </x:c>
      <x:c r="K19" s="57" t="str"/>
    </x:row>
    <x:row r="20" ht="42" customHeight="1">
      <x:c r="A20" s="57" t="str">
        <x:v>SCN-019</x:v>
      </x:c>
      <x:c r="B20" s="57" t="str">
        <x:v>Frank旧车库/排水沟外侧</x:v>
      </x:c>
      <x:c r="C20" s="57" t="str">
        <x:v>关键外/内景</x:v>
      </x:c>
      <x:c r="D20" s="57" t="str">
        <x:v>旧独立车库、杂物、排水沟、可远距对峙；灰棕色调</x:v>
      </x:c>
      <x:c r="E20" s="57" t="str">
        <x:v>内/外</x:v>
      </x:c>
      <x:c r="F20" s="57" t="str">
        <x:v>傍晚</x:v>
      </x:c>
      <x:c r="G20" s="57" t="str">
        <x:v>E22-E23</x:v>
      </x:c>
      <x:c r="H20" s="57" t="str">
        <x:v>P0</x:v>
      </x:c>
      <x:c r="I20" s="57" t="str">
        <x:v>剧本正文E22强调不越界；只拍外侧与Frank出现路线</x:v>
      </x:c>
      <x:c r="J20" s="57" t="str">
        <x:v>待生成</x:v>
      </x:c>
      <x:c r="K20" s="57" t="str"/>
    </x:row>
    <x:row r="21" ht="42" customHeight="1">
      <x:c r="A21" s="58" t="str">
        <x:v>SCN-020</x:v>
      </x:c>
      <x:c r="B21" s="58" t="str">
        <x:v>县检察官办公室/正式问询室</x:v>
      </x:c>
      <x:c r="C21" s="58" t="str">
        <x:v>终局内景</x:v>
      </x:c>
      <x:c r="D21" s="58" t="str">
        <x:v>务实办公室与录音问询桌，法律程序感</x:v>
      </x:c>
      <x:c r="E21" s="58" t="str">
        <x:v>内景</x:v>
      </x:c>
      <x:c r="F21" s="58" t="str">
        <x:v>日</x:v>
      </x:c>
      <x:c r="G21" s="58" t="str">
        <x:v>E24,E28</x:v>
      </x:c>
      <x:c r="H21" s="58" t="str">
        <x:v>P1</x:v>
      </x:c>
      <x:c r="I21" s="58" t="str">
        <x:v>E24计划会与E28正式证词可同场改景</x:v>
      </x:c>
      <x:c r="J21" s="58" t="str">
        <x:v>待生成</x:v>
      </x:c>
      <x:c r="K21" s="58" t="str"/>
    </x:row>
  </x:sheetData>
  <x:dataValidations count="2">
    <x:dataValidation type="list" sqref="H2:H500">
      <x:formula1>"P0,P1,P2"</x:formula1>
    </x:dataValidation>
    <x:dataValidation type="list" sqref="J2:J500">
      <x:formula1>"待生成,生成中,待审核,已锁定,需返工"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933494d25f469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4" hidden="0" customWidth="1"/>
    <x:col min="3" max="3" width="22" hidden="0" customWidth="1"/>
    <x:col min="4" max="4" width="48" hidden="0" customWidth="1"/>
    <x:col min="5" max="5" width="24" hidden="0" customWidth="1"/>
    <x:col min="6" max="6" width="25" hidden="0" customWidth="1"/>
    <x:col min="7" max="7" width="10" hidden="0" customWidth="1"/>
    <x:col min="8" max="8" width="18" hidden="0" customWidth="1"/>
    <x:col min="9" max="9" width="50" hidden="0" customWidth="1"/>
    <x:col min="10" max="10" width="13" hidden="0" customWidth="1"/>
    <x:col min="11" max="11" width="18" hidden="0" customWidth="1"/>
  </x:cols>
  <x:sheetData>
    <x:row r="1" ht="30" customHeight="1">
      <x:c r="A1" s="59" t="str">
        <x:v>资产ID</x:v>
      </x:c>
      <x:c r="B1" s="60" t="str">
        <x:v>道具名称</x:v>
      </x:c>
      <x:c r="C1" s="60" t="str">
        <x:v>功能</x:v>
      </x:c>
      <x:c r="D1" s="60" t="str">
        <x:v>设计说明</x:v>
      </x:c>
      <x:c r="E1" s="60" t="str">
        <x:v>持有人|归属</x:v>
      </x:c>
      <x:c r="F1" s="60" t="str">
        <x:v>涉及集数</x:v>
      </x:c>
      <x:c r="G1" s="60" t="str">
        <x:v>优先级</x:v>
      </x:c>
      <x:c r="H1" s="60" t="str">
        <x:v>数量|版本</x:v>
      </x:c>
      <x:c r="I1" s="60" t="str">
        <x:v>连续性|制作要求</x:v>
      </x:c>
      <x:c r="J1" s="60" t="str">
        <x:v>状态</x:v>
      </x:c>
      <x:c r="K1" s="61" t="str">
        <x:v>资产图</x:v>
      </x:c>
    </x:row>
    <x:row r="2" ht="42" customHeight="1">
      <x:c r="A2" s="56" t="str">
        <x:v>PROP-001</x:v>
      </x:c>
      <x:c r="B2" s="56" t="str">
        <x:v>Megan旧钥匙（FREIGHT 214）</x:v>
      </x:c>
      <x:c r="C2" s="56" t="str">
        <x:v>核心证物</x:v>
      </x:c>
      <x:c r="D2" s="56" t="str">
        <x:v>旧黄铜钥匙，齿纹或挂牌刻有FREIGHT 214</x:v>
      </x:c>
      <x:c r="E2" s="56" t="str">
        <x:v>Megan→Claire→Dot</x:v>
      </x:c>
      <x:c r="F2" s="56" t="str">
        <x:v>E01-E05、E14</x:v>
      </x:c>
      <x:c r="G2" s="56" t="str">
        <x:v>P0</x:v>
      </x:c>
      <x:c r="H2" s="56" t="str">
        <x:v>英雄道具+替身3</x:v>
      </x:c>
      <x:c r="I2" s="56" t="str">
        <x:v>刻字必须清晰；需一把复制件用于“失窃”情节</x:v>
      </x:c>
      <x:c r="J2" s="56" t="str">
        <x:v>待生成</x:v>
      </x:c>
      <x:c r="K2" s="56" t="str"/>
    </x:row>
    <x:row r="3" ht="42" customHeight="1">
      <x:c r="A3" s="57" t="str">
        <x:v>PROP-002</x:v>
      </x:c>
      <x:c r="B3" s="57" t="str">
        <x:v>Megan银链</x:v>
      </x:c>
      <x:c r="C3" s="57" t="str">
        <x:v>核心证物/人物标志</x:v>
      </x:c>
      <x:c r="D3" s="57" t="str">
        <x:v>细银链，简洁日常款，长期佩戴</x:v>
      </x:c>
      <x:c r="E3" s="57" t="str">
        <x:v>Megan/Daniel</x:v>
      </x:c>
      <x:c r="F3" s="57" t="str">
        <x:v>E01、E15、E22</x:v>
      </x:c>
      <x:c r="G3" s="57" t="str">
        <x:v>P0</x:v>
      </x:c>
      <x:c r="H3" s="57" t="str">
        <x:v>英雄道具+替身3</x:v>
      </x:c>
      <x:c r="I3" s="57" t="str">
        <x:v>E01缺失、E15抓痕、后续证物版本保持一致</x:v>
      </x:c>
      <x:c r="J3" s="57" t="str">
        <x:v>待生成</x:v>
      </x:c>
      <x:c r="K3" s="57" t="str"/>
    </x:row>
    <x:row r="4" ht="42" customHeight="1">
      <x:c r="A4" s="57" t="str">
        <x:v>PROP-003</x:v>
      </x:c>
      <x:c r="B4" s="57" t="str">
        <x:v>1989银行抢劫案卷</x:v>
      </x:c>
      <x:c r="C4" s="57" t="str">
        <x:v>核心文件组</x:v>
      </x:c>
      <x:c r="D4" s="57" t="str">
        <x:v>泛黄卷宗、封面标签、Dot与Frank年轻合影</x:v>
      </x:c>
      <x:c r="E4" s="57" t="str">
        <x:v>Dot</x:v>
      </x:c>
      <x:c r="F4" s="57" t="str">
        <x:v>E03、E11、E17、E28</x:v>
      </x:c>
      <x:c r="G4" s="57" t="str">
        <x:v>P0</x:v>
      </x:c>
      <x:c r="H4" s="57" t="str">
        <x:v>整套8-12份</x:v>
      </x:c>
      <x:c r="I4" s="57" t="str">
        <x:v>文件内容需可读但避免真实机构隐私；年代纸张统一</x:v>
      </x:c>
      <x:c r="J4" s="57" t="str">
        <x:v>待生成</x:v>
      </x:c>
      <x:c r="K4" s="57" t="str"/>
    </x:row>
    <x:row r="5" ht="42" customHeight="1">
      <x:c r="A5" s="57" t="str">
        <x:v>PROP-004</x:v>
      </x:c>
      <x:c r="B5" s="57" t="str">
        <x:v>银行封条照片</x:v>
      </x:c>
      <x:c r="C5" s="57" t="str">
        <x:v>线索</x:v>
      </x:c>
      <x:c r="D5" s="57" t="str">
        <x:v>旧拍立得/冲印照，银行封条特写，背写Ask Eddie why Frank lied.</x:v>
      </x:c>
      <x:c r="E5" s="57" t="str">
        <x:v>Megan/Claire</x:v>
      </x:c>
      <x:c r="F5" s="57" t="str">
        <x:v>E04、E08</x:v>
      </x:c>
      <x:c r="G5" s="57" t="str">
        <x:v>P0</x:v>
      </x:c>
      <x:c r="H5" s="57" t="str">
        <x:v>英雄道具+备份2</x:v>
      </x:c>
      <x:c r="I5" s="57" t="str">
        <x:v>正反面均需设计；手写体与Megan其他笔迹一致</x:v>
      </x:c>
      <x:c r="J5" s="57" t="str">
        <x:v>待生成</x:v>
      </x:c>
      <x:c r="K5" s="57" t="str"/>
    </x:row>
    <x:row r="6" ht="42" customHeight="1">
      <x:c r="A6" s="57" t="str">
        <x:v>PROP-005</x:v>
      </x:c>
      <x:c r="B6" s="57" t="str">
        <x:v>Megan未寄出的信</x:v>
      </x:c>
      <x:c r="C6" s="57" t="str">
        <x:v>核心线索</x:v>
      </x:c>
      <x:c r="D6" s="57" t="str">
        <x:v>给Claire的手写信，含“不是Eddie”与M. Harlan地址</x:v>
      </x:c>
      <x:c r="E6" s="57" t="str">
        <x:v>Megan→Claire</x:v>
      </x:c>
      <x:c r="F6" s="57" t="str">
        <x:v>E05-E07</x:v>
      </x:c>
      <x:c r="G6" s="57" t="str">
        <x:v>P0</x:v>
      </x:c>
      <x:c r="H6" s="57" t="str">
        <x:v>英雄道具+备份2</x:v>
      </x:c>
      <x:c r="I6" s="57" t="str">
        <x:v>手写字体统一；需完整可拍文本版</x:v>
      </x:c>
      <x:c r="J6" s="57" t="str">
        <x:v>待生成</x:v>
      </x:c>
      <x:c r="K6" s="57" t="str"/>
    </x:row>
    <x:row r="7" ht="42" customHeight="1">
      <x:c r="A7" s="57" t="str">
        <x:v>PROP-006</x:v>
      </x:c>
      <x:c r="B7" s="57" t="str">
        <x:v>烧焦账页</x:v>
      </x:c>
      <x:c r="C7" s="57" t="str">
        <x:v>资金证据</x:v>
      </x:c>
      <x:c r="D7" s="57" t="str">
        <x:v>三笔私人贷款合计1,800,000美元，放款人缩写F.D.，背面写Caruso never got the deal</x:v>
      </x:c>
      <x:c r="E7" s="57" t="str">
        <x:v>Harlan→Dot</x:v>
      </x:c>
      <x:c r="F7" s="57" t="str">
        <x:v>E07、E12、E24、E28</x:v>
      </x:c>
      <x:c r="G7" s="57" t="str">
        <x:v>P0</x:v>
      </x:c>
      <x:c r="H7" s="57" t="str">
        <x:v>英雄道具+备份4</x:v>
      </x:c>
      <x:c r="I7" s="57" t="str">
        <x:v>火烧边缘不能遮挡关键金额和文字</x:v>
      </x:c>
      <x:c r="J7" s="57" t="str">
        <x:v>待生成</x:v>
      </x:c>
      <x:c r="K7" s="57" t="str"/>
    </x:row>
    <x:row r="8" ht="42" customHeight="1">
      <x:c r="A8" s="57" t="str">
        <x:v>PROP-007</x:v>
      </x:c>
      <x:c r="B8" s="57" t="str">
        <x:v>Eddie旧录音机</x:v>
      </x:c>
      <x:c r="C8" s="57" t="str">
        <x:v>证物</x:v>
      </x:c>
      <x:c r="D8" s="57" t="str">
        <x:v>1980年代便携卡带录音机，磨损但可工作</x:v>
      </x:c>
      <x:c r="E8" s="57" t="str">
        <x:v>Eddie</x:v>
      </x:c>
      <x:c r="F8" s="57" t="str">
        <x:v>E16</x:v>
      </x:c>
      <x:c r="G8" s="57" t="str">
        <x:v>P1</x:v>
      </x:c>
      <x:c r="H8" s="57" t="str">
        <x:v>英雄道具+替身1</x:v>
      </x:c>
      <x:c r="I8" s="57" t="str">
        <x:v>需录制真实机械按键和磁带转动特写</x:v>
      </x:c>
      <x:c r="J8" s="57" t="str">
        <x:v>待生成</x:v>
      </x:c>
      <x:c r="K8" s="57" t="str"/>
    </x:row>
    <x:row r="9" ht="42" customHeight="1">
      <x:c r="A9" s="57" t="str">
        <x:v>PROP-008</x:v>
      </x:c>
      <x:c r="B9" s="57" t="str">
        <x:v>Megan手机</x:v>
      </x:c>
      <x:c r="C9" s="57" t="str">
        <x:v>核心证物</x:v>
      </x:c>
      <x:c r="D9" s="57" t="str">
        <x:v>现代智能手机：聊天、云端录音、定位、未发语音</x:v>
      </x:c>
      <x:c r="E9" s="57" t="str">
        <x:v>Megan→Daniel→警方→Claire</x:v>
      </x:c>
      <x:c r="F9" s="57" t="str">
        <x:v>E01、E09、E18、E20-E21、E29</x:v>
      </x:c>
      <x:c r="G9" s="57" t="str">
        <x:v>P0</x:v>
      </x:c>
      <x:c r="H9" s="57" t="str">
        <x:v>英雄机+屏幕替身2</x:v>
      </x:c>
      <x:c r="I9" s="57" t="str">
        <x:v>制作多套屏幕UI；时间、信号、电量连续</x:v>
      </x:c>
      <x:c r="J9" s="57" t="str">
        <x:v>待生成</x:v>
      </x:c>
      <x:c r="K9" s="57" t="str"/>
    </x:row>
    <x:row r="10" ht="42" customHeight="1">
      <x:c r="A10" s="57" t="str">
        <x:v>PROP-009</x:v>
      </x:c>
      <x:c r="B10" s="57" t="str">
        <x:v>Megan录音音频资产</x:v>
      </x:c>
      <x:c r="C10" s="57" t="str">
        <x:v>数字证据</x:v>
      </x:c>
      <x:c r="D10" s="57" t="str">
        <x:v>22秒原始片段、剪掉20秒版、恢复完整版、未发语音</x:v>
      </x:c>
      <x:c r="E10" s="57" t="str">
        <x:v>Megan/警方</x:v>
      </x:c>
      <x:c r="F10" s="57" t="str">
        <x:v>E09、E18、E29</x:v>
      </x:c>
      <x:c r="G10" s="57" t="str">
        <x:v>P0</x:v>
      </x:c>
      <x:c r="H10" s="57" t="str">
        <x:v>4条音频</x:v>
      </x:c>
      <x:c r="I10" s="57" t="str">
        <x:v>需英文原声、中文字幕、波形文件、干声与环境声分轨</x:v>
      </x:c>
      <x:c r="J10" s="57" t="str">
        <x:v>待生成</x:v>
      </x:c>
      <x:c r="K10" s="57" t="str"/>
    </x:row>
    <x:row r="11" ht="42" customHeight="1">
      <x:c r="A11" s="57" t="str">
        <x:v>PROP-010</x:v>
      </x:c>
      <x:c r="B11" s="57" t="str">
        <x:v>Dot未提交笔记</x:v>
      </x:c>
      <x:c r="C11" s="57" t="str">
        <x:v>核心证物</x:v>
      </x:c>
      <x:c r="D11" s="57" t="str">
        <x:v>便笺写DeLuca’s account doesn’t reconcile.及完整怀疑记录</x:v>
      </x:c>
      <x:c r="E11" s="57" t="str">
        <x:v>Dot→Claire→Ray</x:v>
      </x:c>
      <x:c r="F11" s="57" t="str">
        <x:v>E11、E17、E28</x:v>
      </x:c>
      <x:c r="G11" s="57" t="str">
        <x:v>P0</x:v>
      </x:c>
      <x:c r="H11" s="57" t="str">
        <x:v>英雄道具+备份3</x:v>
      </x:c>
      <x:c r="I11" s="57" t="str">
        <x:v>1989笔迹、墨水老化和折痕统一</x:v>
      </x:c>
      <x:c r="J11" s="57" t="str">
        <x:v>待生成</x:v>
      </x:c>
      <x:c r="K11" s="57" t="str"/>
    </x:row>
    <x:row r="12" ht="42" customHeight="1">
      <x:c r="A12" s="57" t="str">
        <x:v>PROP-011</x:v>
      </x:c>
      <x:c r="B12" s="57" t="str">
        <x:v>警方物品清单/疑似遗书草稿</x:v>
      </x:c>
      <x:c r="C12" s="57" t="str">
        <x:v>案件文件</x:v>
      </x:c>
      <x:c r="D12" s="57" t="str">
        <x:v>列明Megan遗物与“疑似遗书草稿”</x:v>
      </x:c>
      <x:c r="E12" s="57" t="str">
        <x:v>Ray→Claire</x:v>
      </x:c>
      <x:c r="F12" s="57" t="str">
        <x:v>E02</x:v>
      </x:c>
      <x:c r="G12" s="57" t="str">
        <x:v>P1</x:v>
      </x:c>
      <x:c r="H12" s="57" t="str">
        <x:v>2份</x:v>
      </x:c>
      <x:c r="I12" s="57" t="str">
        <x:v>版式符合美国县警文件但用虚构机构</x:v>
      </x:c>
      <x:c r="J12" s="57" t="str">
        <x:v>待生成</x:v>
      </x:c>
      <x:c r="K12" s="57" t="str"/>
    </x:row>
    <x:row r="13" ht="42" customHeight="1">
      <x:c r="A13" s="57" t="str">
        <x:v>PROP-012</x:v>
      </x:c>
      <x:c r="B13" s="57" t="str">
        <x:v>黑咖啡×2与柠檬派</x:v>
      </x:c>
      <x:c r="C13" s="57" t="str">
        <x:v>误导线索</x:v>
      </x:c>
      <x:c r="D13" s="57" t="str">
        <x:v>两杯黑咖啡、一块柠檬派；派实际送给隔壁桌孩子</x:v>
      </x:c>
      <x:c r="E13" s="57" t="str">
        <x:v>Rossi餐厅</x:v>
      </x:c>
      <x:c r="F13" s="57" t="str">
        <x:v>E10、E19、E25-E27</x:v>
      </x:c>
      <x:c r="G13" s="57" t="str">
        <x:v>P1</x:v>
      </x:c>
      <x:c r="H13" s="57" t="str">
        <x:v>多份食品替换</x:v>
      </x:c>
      <x:c r="I13" s="57" t="str">
        <x:v>杯型、碟子与餐厅品牌统一；连续拍摄准备重置份</x:v>
      </x:c>
      <x:c r="J13" s="57" t="str">
        <x:v>待生成</x:v>
      </x:c>
      <x:c r="K13" s="57" t="str"/>
    </x:row>
    <x:row r="14" ht="42" customHeight="1">
      <x:c r="A14" s="57" t="str">
        <x:v>PROP-013</x:v>
      </x:c>
      <x:c r="B14" s="57" t="str">
        <x:v>餐厅收银小票/桌单</x:v>
      </x:c>
      <x:c r="C14" s="57" t="str">
        <x:v>线索</x:v>
      </x:c>
      <x:c r="D14" s="57" t="str">
        <x:v>记录两份黑咖啡与一块柠檬派、时间与桌号</x:v>
      </x:c>
      <x:c r="E14" s="57" t="str">
        <x:v>餐厅老板</x:v>
      </x:c>
      <x:c r="F14" s="57" t="str">
        <x:v>E10、E19</x:v>
      </x:c>
      <x:c r="G14" s="57" t="str">
        <x:v>P1</x:v>
      </x:c>
      <x:c r="H14" s="57" t="str">
        <x:v>英雄道具+备份2</x:v>
      </x:c>
      <x:c r="I14" s="57" t="str">
        <x:v>时间与案发时间线一致</x:v>
      </x:c>
      <x:c r="J14" s="57" t="str">
        <x:v>待生成</x:v>
      </x:c>
      <x:c r="K14" s="57" t="str"/>
    </x:row>
    <x:row r="15" ht="42" customHeight="1">
      <x:c r="A15" s="57" t="str">
        <x:v>PROP-014</x:v>
      </x:c>
      <x:c r="B15" s="57" t="str">
        <x:v>餐厅监控硬盘</x:v>
      </x:c>
      <x:c r="C15" s="57" t="str">
        <x:v>证物</x:v>
      </x:c>
      <x:c r="D15" s="57" t="str">
        <x:v>拆下的旧监控硬盘，缺失当晚23分钟</x:v>
      </x:c>
      <x:c r="E15" s="57" t="str">
        <x:v>餐厅/Daniel/警方</x:v>
      </x:c>
      <x:c r="F15" s="57" t="str">
        <x:v>E10、E19、E21</x:v>
      </x:c>
      <x:c r="G15" s="57" t="str">
        <x:v>P0</x:v>
      </x:c>
      <x:c r="H15" s="57" t="str">
        <x:v>英雄道具+替身1</x:v>
      </x:c>
      <x:c r="I15" s="57" t="str">
        <x:v>外壳、序列号、证物封袋标签统一</x:v>
      </x:c>
      <x:c r="J15" s="57" t="str">
        <x:v>待生成</x:v>
      </x:c>
      <x:c r="K15" s="57" t="str"/>
    </x:row>
    <x:row r="16" ht="42" customHeight="1">
      <x:c r="A16" s="57" t="str">
        <x:v>PROP-015</x:v>
      </x:c>
      <x:c r="B16" s="57" t="str">
        <x:v>红色铁锈粉</x:v>
      </x:c>
      <x:c r="C16" s="57" t="str">
        <x:v>物证</x:v>
      </x:c>
      <x:c r="D16" s="57" t="str">
        <x:v>货运场特有锈红粉，出现在Frank鞋底与Claire车内</x:v>
      </x:c>
      <x:c r="E16" s="57" t="str">
        <x:v>场景物证</x:v>
      </x:c>
      <x:c r="F16" s="57" t="str">
        <x:v>E04、E06、E14</x:v>
      </x:c>
      <x:c r="G16" s="57" t="str">
        <x:v>P0</x:v>
      </x:c>
      <x:c r="H16" s="57" t="str">
        <x:v>可控粉末多份</x:v>
      </x:c>
      <x:c r="I16" s="57" t="str">
        <x:v>颜色需统一，使用安全无毒材料；避免污染演员服装连续</x:v>
      </x:c>
      <x:c r="J16" s="57" t="str">
        <x:v>待生成</x:v>
      </x:c>
      <x:c r="K16" s="57" t="str"/>
    </x:row>
    <x:row r="17" ht="42" customHeight="1">
      <x:c r="A17" s="57" t="str">
        <x:v>PROP-016</x:v>
      </x:c>
      <x:c r="B17" s="57" t="str">
        <x:v>Claire汽车/车内套件</x:v>
      </x:c>
      <x:c r="C17" s="57" t="str">
        <x:v>载具</x:v>
      </x:c>
      <x:c r="D17" s="57" t="str">
        <x:v>普通旧款轿车，非豪华，深色；中控、后视镜可拍</x:v>
      </x:c>
      <x:c r="E17" s="57" t="str">
        <x:v>Claire</x:v>
      </x:c>
      <x:c r="F17" s="57" t="str">
        <x:v>E09、E14、E30</x:v>
      </x:c>
      <x:c r="G17" s="57" t="str">
        <x:v>P0</x:v>
      </x:c>
      <x:c r="H17" s="57" t="str">
        <x:v>1辆+内景匹配</x:v>
      </x:c>
      <x:c r="I17" s="57" t="str">
        <x:v>车牌使用虚构号码；搜车前后物品摆位连续</x:v>
      </x:c>
      <x:c r="J17" s="57" t="str">
        <x:v>待生成</x:v>
      </x:c>
      <x:c r="K17" s="57" t="str"/>
    </x:row>
    <x:row r="18" ht="42" customHeight="1">
      <x:c r="A18" s="57" t="str">
        <x:v>PROP-017</x:v>
      </x:c>
      <x:c r="B18" s="57" t="str">
        <x:v>Daniel公司维修皮卡</x:v>
      </x:c>
      <x:c r="C18" s="57" t="str">
        <x:v>载具/证据</x:v>
      </x:c>
      <x:c r="D18" s="57" t="str">
        <x:v>深色港口维修皮卡，带虚构公司标识与工具箱</x:v>
      </x:c>
      <x:c r="E18" s="57" t="str">
        <x:v>Daniel公司</x:v>
      </x:c>
      <x:c r="F18" s="57" t="str">
        <x:v>E04、E19-E21</x:v>
      </x:c>
      <x:c r="G18" s="57" t="str">
        <x:v>P0</x:v>
      </x:c>
      <x:c r="H18" s="57" t="str">
        <x:v>1辆</x:v>
      </x:c>
      <x:c r="I18" s="57" t="str">
        <x:v>E04远景轮廓与E19监控画面必须一致</x:v>
      </x:c>
      <x:c r="J18" s="57" t="str">
        <x:v>待生成</x:v>
      </x:c>
      <x:c r="K18" s="57" t="str"/>
    </x:row>
    <x:row r="19" ht="42" customHeight="1">
      <x:c r="A19" s="57" t="str">
        <x:v>PROP-018</x:v>
      </x:c>
      <x:c r="B19" s="57" t="str">
        <x:v>港口维修日志</x:v>
      </x:c>
      <x:c r="C19" s="57" t="str">
        <x:v>核心文件</x:v>
      </x:c>
      <x:c r="D19" s="57" t="str">
        <x:v>含23分钟空白的维修记录、班次、Pier Nine封区信息</x:v>
      </x:c>
      <x:c r="E19" s="57" t="str">
        <x:v>Daniel</x:v>
      </x:c>
      <x:c r="F19" s="57" t="str">
        <x:v>E15、E20</x:v>
      </x:c>
      <x:c r="G19" s="57" t="str">
        <x:v>P0</x:v>
      </x:c>
      <x:c r="H19" s="57" t="str">
        <x:v>英雄道具+备份2</x:v>
      </x:c>
      <x:c r="I19" s="57" t="str">
        <x:v>手写/打印混合，空白段显眼但自然</x:v>
      </x:c>
      <x:c r="J19" s="57" t="str">
        <x:v>待生成</x:v>
      </x:c>
      <x:c r="K19" s="57" t="str"/>
    </x:row>
    <x:row r="20" ht="42" customHeight="1">
      <x:c r="A20" s="57" t="str">
        <x:v>PROP-019</x:v>
      </x:c>
      <x:c r="B20" s="57" t="str">
        <x:v>Daniel门禁卡与刷卡记录</x:v>
      </x:c>
      <x:c r="C20" s="57" t="str">
        <x:v>数字/实体证据</x:v>
      </x:c>
      <x:c r="D20" s="57" t="str">
        <x:v>门禁卡；11:42入场记录</x:v>
      </x:c>
      <x:c r="E20" s="57" t="str">
        <x:v>Daniel/警方</x:v>
      </x:c>
      <x:c r="F20" s="57" t="str">
        <x:v>E20</x:v>
      </x:c>
      <x:c r="G20" s="57" t="str">
        <x:v>P1</x:v>
      </x:c>
      <x:c r="H20" s="57" t="str">
        <x:v>卡1+UI1</x:v>
      </x:c>
      <x:c r="I20" s="57" t="str">
        <x:v>公司标识与维修皮卡一致；记录时间固定</x:v>
      </x:c>
      <x:c r="J20" s="57" t="str">
        <x:v>待生成</x:v>
      </x:c>
      <x:c r="K20" s="57" t="str"/>
    </x:row>
    <x:row r="21" ht="42" customHeight="1">
      <x:c r="A21" s="57" t="str">
        <x:v>PROP-020</x:v>
      </x:c>
      <x:c r="B21" s="57" t="str">
        <x:v>铁盒</x:v>
      </x:c>
      <x:c r="C21" s="57" t="str">
        <x:v>关键争抢物</x:v>
      </x:c>
      <x:c r="D21" s="57" t="str">
        <x:v>Megan与Daniel争抢的金属文件盒，内装资金/旧案材料</x:v>
      </x:c>
      <x:c r="E21" s="57" t="str">
        <x:v>Megan/Daniel</x:v>
      </x:c>
      <x:c r="F21" s="57" t="str">
        <x:v>E20-E21</x:v>
      </x:c>
      <x:c r="G21" s="57" t="str">
        <x:v>P0</x:v>
      </x:c>
      <x:c r="H21" s="57" t="str">
        <x:v>英雄道具+软替身2</x:v>
      </x:c>
      <x:c r="I21" s="57" t="str">
        <x:v>边角需演员安全版；雨水、撞击、落水版本</x:v>
      </x:c>
      <x:c r="J21" s="57" t="str">
        <x:v>待生成</x:v>
      </x:c>
      <x:c r="K21" s="57" t="str"/>
    </x:row>
    <x:row r="22" ht="42" customHeight="1">
      <x:c r="A22" s="57" t="str">
        <x:v>PROP-021</x:v>
      </x:c>
      <x:c r="B22" s="57" t="str">
        <x:v>Frank鲜花与汤袋</x:v>
      </x:c>
      <x:c r="C22" s="57" t="str">
        <x:v>人物表演道具</x:v>
      </x:c>
      <x:c r="D22" s="57" t="str">
        <x:v>探望时带来的素雅鲜花和家常汤，体现善意包装</x:v>
      </x:c>
      <x:c r="E22" s="57" t="str">
        <x:v>Frank</x:v>
      </x:c>
      <x:c r="F22" s="57" t="str">
        <x:v>E06</x:v>
      </x:c>
      <x:c r="G22" s="57" t="str">
        <x:v>P1</x:v>
      </x:c>
      <x:c r="H22" s="57" t="str">
        <x:v>1套+重置</x:v>
      </x:c>
      <x:c r="I22" s="57" t="str">
        <x:v>不使用浪漫花束；包装朴素体面</x:v>
      </x:c>
      <x:c r="J22" s="57" t="str">
        <x:v>待生成</x:v>
      </x:c>
      <x:c r="K22" s="57" t="str"/>
    </x:row>
    <x:row r="23" ht="42" customHeight="1">
      <x:c r="A23" s="57" t="str">
        <x:v>PROP-022</x:v>
      </x:c>
      <x:c r="B23" s="57" t="str">
        <x:v>药瓶与收音机</x:v>
      </x:c>
      <x:c r="C23" s="57" t="str">
        <x:v>人物陈设</x:v>
      </x:c>
      <x:c r="D23" s="57" t="str">
        <x:v>Eddie厨房内慢性病药瓶与旧台式收音机</x:v>
      </x:c>
      <x:c r="E23" s="57" t="str">
        <x:v>Eddie</x:v>
      </x:c>
      <x:c r="F23" s="57" t="str">
        <x:v>E08、E16</x:v>
      </x:c>
      <x:c r="G23" s="57" t="str">
        <x:v>P2</x:v>
      </x:c>
      <x:c r="H23" s="57" t="str">
        <x:v>1套</x:v>
      </x:c>
      <x:c r="I23" s="57" t="str">
        <x:v>药瓶使用虚构标签；不展示真实个人信息</x:v>
      </x:c>
      <x:c r="J23" s="57" t="str">
        <x:v>待生成</x:v>
      </x:c>
      <x:c r="K23" s="57" t="str"/>
    </x:row>
    <x:row r="24" ht="42" customHeight="1">
      <x:c r="A24" s="57" t="str">
        <x:v>PROP-023</x:v>
      </x:c>
      <x:c r="B24" s="57" t="str">
        <x:v>Claire监听饰针</x:v>
      </x:c>
      <x:c r="C24" s="57" t="str">
        <x:v>监听设备</x:v>
      </x:c>
      <x:c r="D24" s="57" t="str">
        <x:v>胸前小型饰针/麦克风，Frank在E25注意到</x:v>
      </x:c>
      <x:c r="E24" s="57" t="str">
        <x:v>Claire/Ray</x:v>
      </x:c>
      <x:c r="F24" s="57" t="str">
        <x:v>E25-E27</x:v>
      </x:c>
      <x:c r="G24" s="57" t="str">
        <x:v>P0</x:v>
      </x:c>
      <x:c r="H24" s="57" t="str">
        <x:v>英雄道具+替身2</x:v>
      </x:c>
      <x:c r="I24" s="57" t="str">
        <x:v>既要可被镜头看见又不能过分显眼；收音设备另备</x:v>
      </x:c>
      <x:c r="J24" s="57" t="str">
        <x:v>待生成</x:v>
      </x:c>
      <x:c r="K24" s="57" t="str"/>
    </x:row>
    <x:row r="25" ht="42" customHeight="1">
      <x:c r="A25" s="57" t="str">
        <x:v>PROP-024</x:v>
      </x:c>
      <x:c r="B25" s="57" t="str">
        <x:v>授权监听设备组</x:v>
      </x:c>
      <x:c r="C25" s="57" t="str">
        <x:v>警务设备</x:v>
      </x:c>
      <x:c r="D25" s="57" t="str">
        <x:v>监听接收器、耳机、录音界面、行动通讯</x:v>
      </x:c>
      <x:c r="E25" s="57" t="str">
        <x:v>Ray团队</x:v>
      </x:c>
      <x:c r="F25" s="57" t="str">
        <x:v>E24-E27</x:v>
      </x:c>
      <x:c r="G25" s="57" t="str">
        <x:v>P1</x:v>
      </x:c>
      <x:c r="H25" s="57" t="str">
        <x:v>1组</x:v>
      </x:c>
      <x:c r="I25" s="57" t="str">
        <x:v>现实执法感，避免军用战术风</x:v>
      </x:c>
      <x:c r="J25" s="57" t="str">
        <x:v>待生成</x:v>
      </x:c>
      <x:c r="K25" s="57" t="str"/>
    </x:row>
    <x:row r="26" ht="42" customHeight="1">
      <x:c r="A26" s="57" t="str">
        <x:v>PROP-025</x:v>
      </x:c>
      <x:c r="B26" s="57" t="str">
        <x:v>录音笔/正式证词文件</x:v>
      </x:c>
      <x:c r="C26" s="57" t="str">
        <x:v>终局证据</x:v>
      </x:c>
      <x:c r="D26" s="57" t="str">
        <x:v>Dot正式问询使用的录音笔、签字文件、证物编号</x:v>
      </x:c>
      <x:c r="E26" s="57" t="str">
        <x:v>Ray/Dot</x:v>
      </x:c>
      <x:c r="F26" s="57" t="str">
        <x:v>E28</x:v>
      </x:c>
      <x:c r="G26" s="57" t="str">
        <x:v>P1</x:v>
      </x:c>
      <x:c r="H26" s="57" t="str">
        <x:v>1组</x:v>
      </x:c>
      <x:c r="I26" s="57" t="str">
        <x:v>起诉罪名与时间线文字统一</x:v>
      </x:c>
      <x:c r="J26" s="57" t="str">
        <x:v>待生成</x:v>
      </x:c>
      <x:c r="K26" s="57" t="str"/>
    </x:row>
    <x:row r="27" ht="42" customHeight="1">
      <x:c r="A27" s="57" t="str">
        <x:v>PROP-026</x:v>
      </x:c>
      <x:c r="B27" s="57" t="str">
        <x:v>Megan行李箱</x:v>
      </x:c>
      <x:c r="C27" s="57" t="str">
        <x:v>情感道具</x:v>
      </x:c>
      <x:c r="D27" s="57" t="str">
        <x:v>略俗气、颜色醒目的中小号旅行箱，已买好准备离开</x:v>
      </x:c>
      <x:c r="E27" s="57" t="str">
        <x:v>Megan→Claire</x:v>
      </x:c>
      <x:c r="F27" s="57" t="str">
        <x:v>E29-E30</x:v>
      </x:c>
      <x:c r="G27" s="57" t="str">
        <x:v>P0</x:v>
      </x:c>
      <x:c r="H27" s="57" t="str">
        <x:v>英雄道具1</x:v>
      </x:c>
      <x:c r="I27" s="57" t="str">
        <x:v>颜色应在低饱和画面中形成温暖记忆点</x:v>
      </x:c>
      <x:c r="J27" s="57" t="str">
        <x:v>待生成</x:v>
      </x:c>
      <x:c r="K27" s="57" t="str"/>
    </x:row>
    <x:row r="28" ht="42" customHeight="1">
      <x:c r="A28" s="57" t="str">
        <x:v>PROP-027</x:v>
      </x:c>
      <x:c r="B28" s="57" t="str">
        <x:v>老照片组</x:v>
      </x:c>
      <x:c r="C28" s="57" t="str">
        <x:v>档案资产</x:v>
      </x:c>
      <x:c r="D28" s="57" t="str">
        <x:v>Dot与Frank年轻合影；Leo人事照；Doyle档案照；1989现场照</x:v>
      </x:c>
      <x:c r="E28" s="57" t="str">
        <x:v>Dot/档案馆</x:v>
      </x:c>
      <x:c r="F28" s="57" t="str">
        <x:v>E03、E12、E16</x:v>
      </x:c>
      <x:c r="G28" s="57" t="str">
        <x:v>P1</x:v>
      </x:c>
      <x:c r="H28" s="57" t="str">
        <x:v>6-10张</x:v>
      </x:c>
      <x:c r="I28" s="57" t="str">
        <x:v>年轻版人物脸与现代版骨相一致，统一1989摄影质感</x:v>
      </x:c>
      <x:c r="J28" s="57" t="str">
        <x:v>待生成</x:v>
      </x:c>
      <x:c r="K28" s="57" t="str"/>
    </x:row>
    <x:row r="29" ht="42" customHeight="1">
      <x:c r="A29" s="57" t="str">
        <x:v>PROP-028</x:v>
      </x:c>
      <x:c r="B29" s="57" t="str">
        <x:v>餐厅点唱机</x:v>
      </x:c>
      <x:c r="C29" s="57" t="str">
        <x:v>声画线索</x:v>
      </x:c>
      <x:c r="D29" s="57" t="str">
        <x:v>老式点唱机，录音背景声来源</x:v>
      </x:c>
      <x:c r="E29" s="57" t="str">
        <x:v>Rossi餐厅</x:v>
      </x:c>
      <x:c r="F29" s="57" t="str">
        <x:v>E09-E10、E25-E27</x:v>
      </x:c>
      <x:c r="G29" s="57" t="str">
        <x:v>P1</x:v>
      </x:c>
      <x:c r="H29" s="57" t="str">
        <x:v>1台</x:v>
      </x:c>
      <x:c r="I29" s="57" t="str">
        <x:v>需制作可识别但不侵权的原创音乐/机械声</x:v>
      </x:c>
      <x:c r="J29" s="57" t="str">
        <x:v>待生成</x:v>
      </x:c>
      <x:c r="K29" s="57" t="str"/>
    </x:row>
    <x:row r="30" ht="42" customHeight="1">
      <x:c r="A30" s="57" t="str">
        <x:v>PROP-029</x:v>
      </x:c>
      <x:c r="B30" s="57" t="str">
        <x:v>证物袋/警戒线/担架</x:v>
      </x:c>
      <x:c r="C30" s="57" t="str">
        <x:v>警务组道具</x:v>
      </x:c>
      <x:c r="D30" s="57" t="str">
        <x:v>港口救援及证物交接使用的虚构县警标识套件</x:v>
      </x:c>
      <x:c r="E30" s="57" t="str">
        <x:v>警务/救援</x:v>
      </x:c>
      <x:c r="F30" s="57" t="str">
        <x:v>E01、E21、E27-E28</x:v>
      </x:c>
      <x:c r="G30" s="57" t="str">
        <x:v>P1</x:v>
      </x:c>
      <x:c r="H30" s="57" t="str">
        <x:v>整套</x:v>
      </x:c>
      <x:c r="I30" s="57" t="str">
        <x:v>机构名称、徽标、编号规则全剧统一</x:v>
      </x:c>
      <x:c r="J30" s="57" t="str">
        <x:v>待生成</x:v>
      </x:c>
      <x:c r="K30" s="57" t="str"/>
    </x:row>
    <x:row r="31" ht="42" customHeight="1">
      <x:c r="A31" s="58" t="str">
        <x:v>PROP-030</x:v>
      </x:c>
      <x:c r="B31" s="58" t="str">
        <x:v>后视镜警告字迹</x:v>
      </x:c>
      <x:c r="C31" s="58" t="str">
        <x:v>威胁线索</x:v>
      </x:c>
      <x:c r="D31" s="58" t="str">
        <x:v>ASK DOT WHAT SHE LOST.写在车内后视镜</x:v>
      </x:c>
      <x:c r="E31" s="58" t="str">
        <x:v>未知入侵者</x:v>
      </x:c>
      <x:c r="F31" s="58" t="str">
        <x:v>E14</x:v>
      </x:c>
      <x:c r="G31" s="58" t="str">
        <x:v>P1</x:v>
      </x:c>
      <x:c r="H31" s="58" t="str">
        <x:v>镜面替换2</x:v>
      </x:c>
      <x:c r="I31" s="58" t="str">
        <x:v>字迹风格不应直接暴露Frank；需可擦除重置</x:v>
      </x:c>
      <x:c r="J31" s="58" t="str">
        <x:v>待生成</x:v>
      </x:c>
      <x:c r="K31" s="58" t="str"/>
    </x:row>
  </x:sheetData>
  <x:dataValidations count="2">
    <x:dataValidation type="list" sqref="G2:G500">
      <x:formula1>"P0,P1,P2"</x:formula1>
    </x:dataValidation>
    <x:dataValidation type="list" sqref="J2:J500">
      <x:formula1>"待生成,生成中,待审核,已锁定,需返工"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62f8d11d6e438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4" hidden="0" customWidth="1"/>
    <x:col min="3" max="3" width="22" hidden="0" customWidth="1"/>
    <x:col min="4" max="4" width="50" hidden="0" customWidth="1"/>
    <x:col min="5" max="5" width="18" hidden="0" customWidth="1"/>
    <x:col min="6" max="6" width="25" hidden="0" customWidth="1"/>
    <x:col min="7" max="7" width="10" hidden="0" customWidth="1"/>
    <x:col min="8" max="8" width="15" hidden="0" customWidth="1"/>
    <x:col min="9" max="9" width="52" hidden="0" customWidth="1"/>
    <x:col min="10" max="10" width="13" hidden="0" customWidth="1"/>
    <x:col min="11" max="11" width="18" hidden="0" customWidth="1"/>
  </x:cols>
  <x:sheetData>
    <x:row r="1" ht="30" customHeight="1">
      <x:c r="A1" s="59" t="str">
        <x:v>资产ID</x:v>
      </x:c>
      <x:c r="B1" s="60" t="str">
        <x:v>资产名称</x:v>
      </x:c>
      <x:c r="C1" s="60" t="str">
        <x:v>功能</x:v>
      </x:c>
      <x:c r="D1" s="60" t="str">
        <x:v>内容说明</x:v>
      </x:c>
      <x:c r="E1" s="60" t="str">
        <x:v>适用范围</x:v>
      </x:c>
      <x:c r="F1" s="60" t="str">
        <x:v>涉及集数</x:v>
      </x:c>
      <x:c r="G1" s="60" t="str">
        <x:v>优先级</x:v>
      </x:c>
      <x:c r="H1" s="60" t="str">
        <x:v>数量|版本</x:v>
      </x:c>
      <x:c r="I1" s="60" t="str">
        <x:v>制作要求</x:v>
      </x:c>
      <x:c r="J1" s="60" t="str">
        <x:v>状态</x:v>
      </x:c>
      <x:c r="K1" s="61" t="str">
        <x:v>资产图</x:v>
      </x:c>
    </x:row>
    <x:row r="2" ht="42" customHeight="1">
      <x:c r="A2" s="56" t="str">
        <x:v>OTH-001</x:v>
      </x:c>
      <x:c r="B2" s="56" t="str">
        <x:v>全剧角色一致性包</x:v>
      </x:c>
      <x:c r="C2" s="56" t="str">
        <x:v>AI生产规范</x:v>
      </x:c>
      <x:c r="D2" s="56" t="str">
        <x:v>每位主要人物正面/45度/侧面/全身/表情/手部；角色LoRA或参考图包</x:v>
      </x:c>
      <x:c r="E2" s="56" t="str">
        <x:v>全剧</x:v>
      </x:c>
      <x:c r="F2" s="56" t="str">
        <x:v>E01-E30</x:v>
      </x:c>
      <x:c r="G2" s="56" t="str">
        <x:v>P0</x:v>
      </x:c>
      <x:c r="H2" s="56" t="str">
        <x:v>15套</x:v>
      </x:c>
      <x:c r="I2" s="56" t="str">
        <x:v>先锁定P0人物，再生成任何镜头；记录seed、模型、提示词和禁用词</x:v>
      </x:c>
      <x:c r="J2" s="56" t="str">
        <x:v>待生成</x:v>
      </x:c>
      <x:c r="K2" s="56" t="str"/>
    </x:row>
    <x:row r="3" ht="42" customHeight="1">
      <x:c r="A3" s="57" t="str">
        <x:v>OTH-002</x:v>
      </x:c>
      <x:c r="B3" s="57" t="str">
        <x:v>人物关系与年龄连续性表</x:v>
      </x:c>
      <x:c r="C3" s="57" t="str">
        <x:v>连续性文件</x:v>
      </x:c>
      <x:c r="D3" s="57" t="str">
        <x:v>三代Bennett家族、DeLuca父子及1989/2026年龄映射</x:v>
      </x:c>
      <x:c r="E3" s="57" t="str">
        <x:v>全剧</x:v>
      </x:c>
      <x:c r="F3" s="57" t="str">
        <x:v>E01-E30</x:v>
      </x:c>
      <x:c r="G3" s="57" t="str">
        <x:v>P0</x:v>
      </x:c>
      <x:c r="H3" s="57" t="str">
        <x:v>1</x:v>
      </x:c>
      <x:c r="I3" s="57" t="str">
        <x:v>明确1989回忆中Dot/Frank/Eddie/Leo/Doyle年龄</x:v>
      </x:c>
      <x:c r="J3" s="57" t="str">
        <x:v>待生成</x:v>
      </x:c>
      <x:c r="K3" s="57" t="str"/>
    </x:row>
    <x:row r="4" ht="42" customHeight="1">
      <x:c r="A4" s="57" t="str">
        <x:v>OTH-004</x:v>
      </x:c>
      <x:c r="B4" s="57" t="str">
        <x:v>场景视觉圣经</x:v>
      </x:c>
      <x:c r="C4" s="57" t="str">
        <x:v>美术规范</x:v>
      </x:c>
      <x:c r="D4" s="57" t="str">
        <x:v>低饱和冷灰、旧木、锈红；50mm人物视角；港口水面与锈迹参考</x:v>
      </x:c>
      <x:c r="E4" s="57" t="str">
        <x:v>全剧</x:v>
      </x:c>
      <x:c r="F4" s="57" t="str">
        <x:v>E01-E30</x:v>
      </x:c>
      <x:c r="G4" s="57" t="str">
        <x:v>P0</x:v>
      </x:c>
      <x:c r="H4" s="57" t="str">
        <x:v>1</x:v>
      </x:c>
      <x:c r="I4" s="57" t="str">
        <x:v>规定色卡、镜头焦段、天气、颗粒和禁止出现的现代品牌</x:v>
      </x:c>
      <x:c r="J4" s="57" t="str">
        <x:v>待生成</x:v>
      </x:c>
      <x:c r="K4" s="57" t="str"/>
    </x:row>
    <x:row r="5" ht="42" customHeight="1">
      <x:c r="A5" s="57" t="str">
        <x:v>OTH-005</x:v>
      </x:c>
      <x:c r="B5" s="57" t="str">
        <x:v>1989年代资产包</x:v>
      </x:c>
      <x:c r="C5" s="57" t="str">
        <x:v>年代包</x:v>
      </x:c>
      <x:c r="D5" s="57" t="str">
        <x:v>银行、警服、车辆、文件、钱袋、室内陈设、影像颗粒</x:v>
      </x:c>
      <x:c r="E5" s="57" t="str">
        <x:v>1989回忆/档案</x:v>
      </x:c>
      <x:c r="F5" s="57" t="str">
        <x:v>E03、E11、E16、E17</x:v>
      </x:c>
      <x:c r="G5" s="57" t="str">
        <x:v>P1</x:v>
      </x:c>
      <x:c r="H5" s="57" t="str">
        <x:v>1包</x:v>
      </x:c>
      <x:c r="I5" s="57" t="str">
        <x:v>避免出现1990年代后产品与字体；画面可用4:3档案质感</x:v>
      </x:c>
      <x:c r="J5" s="57" t="str">
        <x:v>待生成</x:v>
      </x:c>
      <x:c r="K5" s="57" t="str"/>
    </x:row>
    <x:row r="6" ht="42" customHeight="1">
      <x:c r="A6" s="57" t="str">
        <x:v>OTH-006</x:v>
      </x:c>
      <x:c r="B6" s="57" t="str">
        <x:v>虚构机构品牌包</x:v>
      </x:c>
      <x:c r="C6" s="57" t="str">
        <x:v>平面设计</x:v>
      </x:c>
      <x:c r="D6" s="57" t="str">
        <x:v>Grey Harbor County Police、港口维修公司、Rossi餐厅、银行等Logo与字体</x:v>
      </x:c>
      <x:c r="E6" s="57" t="str">
        <x:v>全剧</x:v>
      </x:c>
      <x:c r="F6" s="57" t="str">
        <x:v>E01-E30</x:v>
      </x:c>
      <x:c r="G6" s="57" t="str">
        <x:v>P0</x:v>
      </x:c>
      <x:c r="H6" s="57" t="str">
        <x:v>1包</x:v>
      </x:c>
      <x:c r="I6" s="57" t="str">
        <x:v>所有文件、车辆、制服、门禁卡、UI统一引用</x:v>
      </x:c>
      <x:c r="J6" s="57" t="str">
        <x:v>待生成</x:v>
      </x:c>
      <x:c r="K6" s="57" t="str"/>
    </x:row>
    <x:row r="7" ht="42" customHeight="1">
      <x:c r="A7" s="57" t="str">
        <x:v>OTH-007</x:v>
      </x:c>
      <x:c r="B7" s="57" t="str">
        <x:v>手机/电脑/监控UI包</x:v>
      </x:c>
      <x:c r="C7" s="57" t="str">
        <x:v>屏幕资产</x:v>
      </x:c>
      <x:c r="D7" s="57" t="str">
        <x:v>短信、云端录音、定位、波形恢复、门禁记录、监听界面、监控时间码</x:v>
      </x:c>
      <x:c r="E7" s="57" t="str">
        <x:v>调查线</x:v>
      </x:c>
      <x:c r="F7" s="57" t="str">
        <x:v>E01、E09、E18-E21、E24-E27、E29</x:v>
      </x:c>
      <x:c r="G7" s="57" t="str">
        <x:v>P0</x:v>
      </x:c>
      <x:c r="H7" s="57" t="str">
        <x:v>12-15屏</x:v>
      </x:c>
      <x:c r="I7" s="57" t="str">
        <x:v>时间线统一；使用虚构联系人与无真实隐私数据</x:v>
      </x:c>
      <x:c r="J7" s="57" t="str">
        <x:v>待生成</x:v>
      </x:c>
      <x:c r="K7" s="57" t="str"/>
    </x:row>
    <x:row r="8" ht="42" customHeight="1">
      <x:c r="A8" s="57" t="str">
        <x:v>OTH-008</x:v>
      </x:c>
      <x:c r="B8" s="57" t="str">
        <x:v>英文台词原声与口型包</x:v>
      </x:c>
      <x:c r="C8" s="57" t="str">
        <x:v>声音资产</x:v>
      </x:c>
      <x:c r="D8" s="57" t="str">
        <x:v>主角/配角英语音色、对白干声、呼吸、哭腔强度与口型驱动文件</x:v>
      </x:c>
      <x:c r="E8" s="57" t="str">
        <x:v>全剧</x:v>
      </x:c>
      <x:c r="F8" s="57" t="str">
        <x:v>E01-E30</x:v>
      </x:c>
      <x:c r="G8" s="57" t="str">
        <x:v>P0</x:v>
      </x:c>
      <x:c r="H8" s="57" t="str">
        <x:v>按集</x:v>
      </x:c>
      <x:c r="I8" s="57" t="str">
        <x:v>人物音色全剧锁定；Dot与Frank语速克制；Daniel崩溃段单独调教</x:v>
      </x:c>
      <x:c r="J8" s="57" t="str">
        <x:v>待生成</x:v>
      </x:c>
      <x:c r="K8" s="57" t="str"/>
    </x:row>
    <x:row r="9" ht="42" customHeight="1">
      <x:c r="A9" s="57" t="str">
        <x:v>OTH-009</x:v>
      </x:c>
      <x:c r="B9" s="57" t="str">
        <x:v>中文字幕与双语字卡模板</x:v>
      </x:c>
      <x:c r="C9" s="57" t="str">
        <x:v>字幕资产</x:v>
      </x:c>
      <x:c r="D9" s="57" t="str">
        <x:v>中英双语字幕、安全框、每集标题、黑场For Megan</x:v>
      </x:c>
      <x:c r="E9" s="57" t="str">
        <x:v>全剧</x:v>
      </x:c>
      <x:c r="F9" s="57" t="str">
        <x:v>E01-E30</x:v>
      </x:c>
      <x:c r="G9" s="57" t="str">
        <x:v>P0</x:v>
      </x:c>
      <x:c r="H9" s="57" t="str">
        <x:v>31套</x:v>
      </x:c>
      <x:c r="I9" s="57" t="str">
        <x:v>统一断句、姓名拼写、标点与位置；手机UI避免与字幕冲突</x:v>
      </x:c>
      <x:c r="J9" s="57" t="str">
        <x:v>待生成</x:v>
      </x:c>
      <x:c r="K9" s="57" t="str"/>
    </x:row>
    <x:row r="10" ht="42" customHeight="1">
      <x:c r="A10" s="57" t="str">
        <x:v>OTH-010</x:v>
      </x:c>
      <x:c r="B10" s="57" t="str">
        <x:v>港口环境声包</x:v>
      </x:c>
      <x:c r="C10" s="57" t="str">
        <x:v>声音资产</x:v>
      </x:c>
      <x:c r="D10" s="57" t="str">
        <x:v>风、雨后滴水、黑水、远船、金属梯、救援灯电流、远处火车</x:v>
      </x:c>
      <x:c r="E10" s="57" t="str">
        <x:v>港口/货运场</x:v>
      </x:c>
      <x:c r="F10" s="57" t="str">
        <x:v>E01、E04、E15、E19-E21、E30</x:v>
      </x:c>
      <x:c r="G10" s="57" t="str">
        <x:v>P0</x:v>
      </x:c>
      <x:c r="H10" s="57" t="str">
        <x:v>1包</x:v>
      </x:c>
      <x:c r="I10" s="57" t="str">
        <x:v>案发夜压迫、结局清晨更开阔；同源但混音不同</x:v>
      </x:c>
      <x:c r="J10" s="57" t="str">
        <x:v>待生成</x:v>
      </x:c>
      <x:c r="K10" s="57" t="str"/>
    </x:row>
    <x:row r="11" ht="42" customHeight="1">
      <x:c r="A11" s="57" t="str">
        <x:v>OTH-011</x:v>
      </x:c>
      <x:c r="B11" s="57" t="str">
        <x:v>Rossi餐厅声音包</x:v>
      </x:c>
      <x:c r="C11" s="57" t="str">
        <x:v>声音资产</x:v>
      </x:c>
      <x:c r="D11" s="57" t="str">
        <x:v>咖啡机、餐具、低声人群、点唱机原创片段、后厨环境</x:v>
      </x:c>
      <x:c r="E11" s="57" t="str">
        <x:v>餐厅</x:v>
      </x:c>
      <x:c r="F11" s="57" t="str">
        <x:v>E09-E10、E19、E25-E27</x:v>
      </x:c>
      <x:c r="G11" s="57" t="str">
        <x:v>P1</x:v>
      </x:c>
      <x:c r="H11" s="57" t="str">
        <x:v>1包</x:v>
      </x:c>
      <x:c r="I11" s="57" t="str">
        <x:v>点唱机声是可识别线索，必须原创可商用</x:v>
      </x:c>
      <x:c r="J11" s="57" t="str">
        <x:v>待生成</x:v>
      </x:c>
      <x:c r="K11" s="57" t="str"/>
    </x:row>
    <x:row r="12" ht="42" customHeight="1">
      <x:c r="A12" s="57" t="str">
        <x:v>OTH-012</x:v>
      </x:c>
      <x:c r="B12" s="57" t="str">
        <x:v>天气与水体VFX包</x:v>
      </x:c>
      <x:c r="C12" s="57" t="str">
        <x:v>VFX</x:v>
      </x:c>
      <x:c r="D12" s="57" t="str">
        <x:v>冷雨刚停、衣物湿润、黑水反光、落水回忆、清晨雾气</x:v>
      </x:c>
      <x:c r="E12" s="57" t="str">
        <x:v>港口</x:v>
      </x:c>
      <x:c r="F12" s="57" t="str">
        <x:v>E01、E21、E30</x:v>
      </x:c>
      <x:c r="G12" s="57" t="str">
        <x:v>P0</x:v>
      </x:c>
      <x:c r="H12" s="57" t="str">
        <x:v>1包</x:v>
      </x:c>
      <x:c r="I12" s="57" t="str">
        <x:v>不制作猎奇溺亡镜头；水体物理和雨量跨镜头连续</x:v>
      </x:c>
      <x:c r="J12" s="57" t="str">
        <x:v>待生成</x:v>
      </x:c>
      <x:c r="K12" s="57" t="str"/>
    </x:row>
    <x:row r="13" ht="42" customHeight="1">
      <x:c r="A13" s="57" t="str">
        <x:v>OTH-013</x:v>
      </x:c>
      <x:c r="B13" s="57" t="str">
        <x:v>证物与文件近景模板</x:v>
      </x:c>
      <x:c r="C13" s="57" t="str">
        <x:v>摄影/合成规范</x:v>
      </x:c>
      <x:c r="D13" s="57" t="str">
        <x:v>账页、便笺、信、清单、日志、照片的手部近景、焦点与可读区模板</x:v>
      </x:c>
      <x:c r="E13" s="57" t="str">
        <x:v>调查线</x:v>
      </x:c>
      <x:c r="F13" s="57" t="str">
        <x:v>E02-E20、E28</x:v>
      </x:c>
      <x:c r="G13" s="57" t="str">
        <x:v>P0</x:v>
      </x:c>
      <x:c r="H13" s="57" t="str">
        <x:v>1</x:v>
      </x:c>
      <x:c r="I13" s="57" t="str">
        <x:v>所有可读文字需预留中文字幕安全区并校对拼写金额</x:v>
      </x:c>
      <x:c r="J13" s="57" t="str">
        <x:v>待生成</x:v>
      </x:c>
      <x:c r="K13" s="57" t="str"/>
    </x:row>
    <x:row r="14" ht="42" customHeight="1">
      <x:c r="A14" s="57" t="str">
        <x:v>OTH-014</x:v>
      </x:c>
      <x:c r="B14" s="57" t="str">
        <x:v>每集片头/集名/结尾钩子包装</x:v>
      </x:c>
      <x:c r="C14" s="57" t="str">
        <x:v>包装</x:v>
      </x:c>
      <x:c r="D14" s="57" t="str">
        <x:v>30集标题条、5-10秒结尾钩子节奏、统一黑场与下集悬念音效</x:v>
      </x:c>
      <x:c r="E14" s="57" t="str">
        <x:v>全剧</x:v>
      </x:c>
      <x:c r="F14" s="57" t="str">
        <x:v>E01-E30</x:v>
      </x:c>
      <x:c r="G14" s="57" t="str">
        <x:v>P1</x:v>
      </x:c>
      <x:c r="H14" s="57" t="str">
        <x:v>30套</x:v>
      </x:c>
      <x:c r="I14" s="57" t="str">
        <x:v>克制流媒体罪案感，不做网感夸张爆字</x:v>
      </x:c>
      <x:c r="J14" s="57" t="str">
        <x:v>待生成</x:v>
      </x:c>
      <x:c r="K14" s="57" t="str"/>
    </x:row>
    <x:row r="15" ht="42" customHeight="1">
      <x:c r="A15" s="57" t="str">
        <x:v>OTH-015</x:v>
      </x:c>
      <x:c r="B15" s="57" t="str">
        <x:v>连续性总表与镜头资产追踪</x:v>
      </x:c>
      <x:c r="C15" s="57" t="str">
        <x:v>制片文件</x:v>
      </x:c>
      <x:c r="D15" s="57" t="str">
        <x:v>人物脸、服装、伤痕、湿度、道具流转、场景版本、镜头生成状态</x:v>
      </x:c>
      <x:c r="E15" s="57" t="str">
        <x:v>全剧</x:v>
      </x:c>
      <x:c r="F15" s="57" t="str">
        <x:v>E01-E30</x:v>
      </x:c>
      <x:c r="G15" s="57" t="str">
        <x:v>P0</x:v>
      </x:c>
      <x:c r="H15" s="57" t="str">
        <x:v>1</x:v>
      </x:c>
      <x:c r="I15" s="57" t="str">
        <x:v>由资产ID关联分镜；每次重生成记录版本与审批状态</x:v>
      </x:c>
      <x:c r="J15" s="57" t="str">
        <x:v>待生成</x:v>
      </x:c>
      <x:c r="K15" s="57" t="str"/>
    </x:row>
    <x:row r="16" ht="42" customHeight="1">
      <x:c r="A16" s="57" t="str">
        <x:v>OTH-016</x:v>
      </x:c>
      <x:c r="B16" s="57" t="str">
        <x:v>法律与安全审查清单</x:v>
      </x:c>
      <x:c r="C16" s="57" t="str">
        <x:v>审查文件</x:v>
      </x:c>
      <x:c r="D16" s="57" t="str">
        <x:v>虚构警徽/机构、药瓶标签、车牌、监听合法性、演员落水与粉末安全</x:v>
      </x:c>
      <x:c r="E16" s="57" t="str">
        <x:v>全剧</x:v>
      </x:c>
      <x:c r="F16" s="57" t="str">
        <x:v>E01-E30</x:v>
      </x:c>
      <x:c r="G16" s="57" t="str">
        <x:v>P1</x:v>
      </x:c>
      <x:c r="H16" s="57" t="str">
        <x:v>1</x:v>
      </x:c>
      <x:c r="I16" s="57" t="str">
        <x:v>成片前逐项复核；避免真实个人数据和受保护品牌</x:v>
      </x:c>
      <x:c r="J16" s="57" t="str">
        <x:v>待生成</x:v>
      </x:c>
      <x:c r="K16" s="57" t="str"/>
    </x:row>
    <x:row r="17" ht="42" customHeight="1">
      <x:c r="A17" s="57" t="str">
        <x:v>OTH-017</x:v>
      </x:c>
      <x:c r="B17" s="57" t="str">
        <x:v>海报与主视觉资产</x:v>
      </x:c>
      <x:c r="C17" s="57" t="str">
        <x:v>宣传资产</x:v>
      </x:c>
      <x:c r="D17" s="57" t="str">
        <x:v>Claire与Dot双女主、港口黑水、银链/钥匙、Frank温和阴影版</x:v>
      </x:c>
      <x:c r="E17" s="57" t="str">
        <x:v>宣发</x:v>
      </x:c>
      <x:c r="F17" s="57" t="str">
        <x:v>全剧</x:v>
      </x:c>
      <x:c r="G17" s="57" t="str">
        <x:v>P1</x:v>
      </x:c>
      <x:c r="H17" s="57" t="str">
        <x:v>3版</x:v>
      </x:c>
      <x:c r="I17" s="57" t="str">
        <x:v>先完成人物锁脸后制作；不剧透Frank终局可备无剧透版</x:v>
      </x:c>
      <x:c r="J17" s="57" t="str">
        <x:v>待生成</x:v>
      </x:c>
      <x:c r="K17" s="57" t="str"/>
    </x:row>
    <x:row r="18" ht="42" customHeight="1">
      <x:c r="A18" s="58" t="str">
        <x:v>OTH-018</x:v>
      </x:c>
      <x:c r="B18" s="58" t="str">
        <x:v>场景空镜与转场素材</x:v>
      </x:c>
      <x:c r="C18" s="58" t="str">
        <x:v>镜头素材</x:v>
      </x:c>
      <x:c r="D18" s="58" t="str">
        <x:v>港口水面、空栏杆、远火车、雨窗、警局走廊、餐厅空卡座</x:v>
      </x:c>
      <x:c r="E18" s="58" t="str">
        <x:v>全剧</x:v>
      </x:c>
      <x:c r="F18" s="58" t="str">
        <x:v>E01-E30</x:v>
      </x:c>
      <x:c r="G18" s="58" t="str">
        <x:v>P1</x:v>
      </x:c>
      <x:c r="H18" s="58" t="str">
        <x:v>20-30条</x:v>
      </x:c>
      <x:c r="I18" s="58" t="str">
        <x:v>用于75秒短剧节奏衔接和补时；与主镜头天气光线一致</x:v>
      </x:c>
      <x:c r="J18" s="58" t="str">
        <x:v>待生成</x:v>
      </x:c>
      <x:c r="K18" s="58" t="str"/>
    </x:row>
  </x:sheetData>
  <x:dataValidations count="2">
    <x:dataValidation type="list" sqref="G2:G500">
      <x:formula1>"P0,P1,P2"</x:formula1>
    </x:dataValidation>
    <x:dataValidation type="list" sqref="J2:J500">
      <x:formula1>"待生成,生成中,待审核,已锁定,需返工"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c8ebc4a937451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48" hidden="0" customWidth="1"/>
    <x:col min="4" max="4" width="34" hidden="0" customWidth="1"/>
    <x:col min="5" max="5" width="34" hidden="0" customWidth="1"/>
    <x:col min="6" max="6" width="40" hidden="0" customWidth="1"/>
    <x:col min="7" max="7" width="38" hidden="0" customWidth="1"/>
    <x:col min="8" max="8" width="12" hidden="0" customWidth="1"/>
  </x:cols>
  <x:sheetData>
    <x:row r="1" ht="34" customHeight="1">
      <x:c r="A1" s="64" t="str">
        <x:v>人物小传｜角色理解与表演依据</x:v>
      </x:c>
      <x:c r="B1" s="64"/>
      <x:c r="C1" s="64"/>
      <x:c r="D1" s="64"/>
      <x:c r="E1" s="64"/>
      <x:c r="F1" s="64"/>
      <x:c r="G1" s="64"/>
      <x:c r="H1" s="64"/>
    </x:row>
    <x:row r="2" ht="27" customHeight="1">
      <x:c r="A2" s="67" t="str">
        <x:v>本页一人一行，避免在“人物资产”中按造型重复堆叠。造型生产仍以“人物资产”为准。</x:v>
      </x:c>
      <x:c r="B2" s="67"/>
      <x:c r="C2" s="67"/>
      <x:c r="D2" s="67"/>
      <x:c r="E2" s="67"/>
      <x:c r="F2" s="67"/>
      <x:c r="G2" s="67"/>
      <x:c r="H2" s="67"/>
    </x:row>
    <x:row r="4" ht="28" customHeight="1">
      <x:c r="A4" s="72" t="str">
        <x:v>人物</x:v>
      </x:c>
      <x:c r="B4" s="72" t="str">
        <x:v>角色定位</x:v>
      </x:c>
      <x:c r="C4" s="72" t="str">
        <x:v>人物小传</x:v>
      </x:c>
      <x:c r="D4" s="72" t="str">
        <x:v>核心欲望</x:v>
      </x:c>
      <x:c r="E4" s="72" t="str">
        <x:v>深层恐惧</x:v>
      </x:c>
      <x:c r="F4" s="72" t="str">
        <x:v>人物弧光</x:v>
      </x:c>
      <x:c r="G4" s="72" t="str">
        <x:v>表演抓手</x:v>
      </x:c>
      <x:c r="H4" s="72" t="str">
        <x:v>造型资产数</x:v>
      </x:c>
    </x:row>
    <x:row r="5" ht="76" customHeight="1">
      <x:c r="A5" s="83" t="str">
        <x:v>Claire Bennett</x:v>
      </x:c>
      <x:c r="B5" s="80" t="str">
        <x:v>26岁｜办公室行政助理｜第一主角</x:v>
      </x:c>
      <x:c r="C5" s="80" t="str">
        <x:v>非专业侦探，却对亲密关系中的停顿、闪躲和“不像本人”的细节异常敏感。Megan是她唯一真正把未来放进共同计划的人，因此她追查的不只是死因，更是拒绝让朋友的人生被一个方便的结论抹掉。</x:v>
      </x:c>
      <x:c r="D5" s="80" t="str">
        <x:v>证明Megan不是自杀，找出她死前真正经历了什么。</x:v>
      </x:c>
      <x:c r="E5" s="80" t="str">
        <x:v>害怕亲密关系都藏着自己看不见的一面，也害怕真相证明她从未真正了解Megan和Dot。</x:v>
      </x:c>
      <x:c r="F5" s="80" t="str">
        <x:v>从“我要一个答案”成长为“我愿意承担答案的代价”，最终依靠合法证据链迫使Frank暴露。</x:v>
      </x:c>
      <x:c r="G5" s="80" t="str">
        <x:v>动作快、呼吸先于语言；前期向前逼近，后期学会停住、听完并提出准确问题。</x:v>
      </x:c>
      <x:c r="H5" s="92" t="n">
        <x:f>COUNTIF('人物资产'!$B$2:$B$32,A5)</x:f>
        <x:v>7</x:v>
      </x:c>
    </x:row>
    <x:row r="6" ht="76" customHeight="1">
      <x:c r="A6" s="84" t="str">
        <x:v>Dorothy “Dot” Bennett</x:v>
      </x:c>
      <x:c r="B6" s="81" t="str">
        <x:v>72岁｜退休凶案警探｜第二主角</x:v>
      </x:c>
      <x:c r="C6" s="81" t="str">
        <x:v>外表安静朴素，问问题从不提高音量。她是最可靠的调查者，也是旧案失败的一部分：1989年已怀疑Frank私吞赃款，却没有把怀疑正式保存。</x:v>
      </x:c>
      <x:c r="D6" s="81" t="str">
        <x:v>保护Claire不被案件吞没，并完成自己当年没有完成的调查。</x:v>
      </x:c>
      <x:c r="E6" s="81" t="str">
        <x:v>害怕职业生涯建立在一次关键沉默上，更害怕Claire因此失去对她的信任。</x:v>
      </x:c>
      <x:c r="F6" s="81" t="str">
        <x:v>从用专业控制伤口，走向把自己也放进证词；胜利不是抓住Frank，而是不再要求自己看起来无辜。</x:v>
      </x:c>
      <x:c r="G6" s="81" t="str">
        <x:v>极少大动作；以停顿、视线和手指细节承载情绪，承认失职时语速反而更平稳。</x:v>
      </x:c>
      <x:c r="H6" s="93" t="n">
        <x:f>COUNTIF('人物资产'!$B$2:$B$32,A6)</x:f>
        <x:v>6</x:v>
      </x:c>
    </x:row>
    <x:row r="7" ht="76" customHeight="1">
      <x:c r="A7" s="84" t="str">
        <x:v>Megan Torres</x:v>
      </x:c>
      <x:c r="B7" s="81" t="str">
        <x:v>27岁｜物业档案临时整理员｜缺席的核心人物</x:v>
      </x:c>
      <x:c r="C7" s="81" t="str">
        <x:v>在寄养系统中长大，机灵、幽默，极度珍惜自由。她把发现旧案资金链当作离开灰港的机会；死后仍通过录音、信件、银链、行李箱与Claire的记忆持续在场。</x:v>
      </x:c>
      <x:c r="D7" s="81" t="str">
        <x:v>拿到足以离开灰港的资金，与Claire开始不再受过去支配的生活。</x:v>
      </x:c>
      <x:c r="E7" s="81" t="str">
        <x:v>害怕再次被困住、被抛下，也害怕把Claire卷进危险。</x:v>
      </x:c>
      <x:c r="F7" s="81" t="str">
        <x:v>叙事不断修正观众对她的理解：从“疑似自杀者”还原为主动计划未来、努力活下去的人。</x:v>
      </x:c>
      <x:c r="G7" s="81" t="str">
        <x:v>轻快不是天真而是强撑；恐惧藏在眼神和换气里，幽默越自然，结局越令人心痛。</x:v>
      </x:c>
      <x:c r="H7" s="93" t="n">
        <x:f>COUNTIF('人物资产'!$B$2:$B$32,A7)</x:f>
        <x:v>1</x:v>
      </x:c>
    </x:row>
    <x:row r="8" ht="76" customHeight="1">
      <x:c r="A8" s="84" t="str">
        <x:v>Frank DeLuca</x:v>
      </x:c>
      <x:c r="B8" s="81" t="str">
        <x:v>70岁｜退休警探/社区慈善人士｜核心反派</x:v>
      </x:c>
      <x:c r="C8" s="81" t="str">
        <x:v>社区公认的好人，也是Claire从小信任的“Frank叔叔”。他真正危险之处，是知道怎样把控制包装成照顾，让受害者对牢笼心怀感激。</x:v>
      </x:c>
      <x:c r="D8" s="81" t="str">
        <x:v>保住三十五年经营出的身份、资产与家庭秩序，并继续相信一切都是“为了别人”。</x:v>
      </x:c>
      <x:c r="E8" s="81" t="str">
        <x:v>害怕失去叙事控制；能接受别人恨他，却不能接受别人不再需要他的解释。</x:v>
      </x:c>
      <x:c r="F8" s="81" t="str">
        <x:v>不是堕落而是显形：从慈爱叔叔逐步露出冷静操纵者本质，最终败于对自己解释能力的过度自信。</x:v>
      </x:c>
      <x:c r="G8" s="81" t="str">
        <x:v>前期始终给人被照顾的感觉；真正失控仅表现为一瞬间语速加快与措辞过界。</x:v>
      </x:c>
      <x:c r="H8" s="93" t="n">
        <x:f>COUNTIF('人物资产'!$B$2:$B$32,A8)</x:f>
        <x:v>3</x:v>
      </x:c>
    </x:row>
    <x:row r="9" ht="76" customHeight="1">
      <x:c r="A9" s="84" t="str">
        <x:v>Daniel DeLuca</x:v>
      </x:c>
      <x:c r="B9" s="81" t="str">
        <x:v>40岁｜港口维修承包商｜关键共犯/转向证人</x:v>
      </x:c>
      <x:c r="C9" s="81" t="str">
        <x:v>从小被父亲训练成“家里的事不要问”，习惯把服从当责任、把恐惧当忠诚。Megan落水后，他先给父亲打电话，使意外变成谋杀与掩盖。</x:v>
      </x:c>
      <x:c r="D9" s="81" t="str">
        <x:v>保护父亲、保住家庭，同时摆脱自己亲眼见证的那一刻。</x:v>
      </x:c>
      <x:c r="E9" s="81" t="str">
        <x:v>害怕父亲抛弃他，也害怕承认长期服从并非爱而是懦弱。</x:v>
      </x:c>
      <x:c r="F9" s="81" t="str">
        <x:v>从替父亲说谎到说出“她还活着”；崩溃不是洗白，而是第一次承担自己那部分事实。</x:v>
      </x:c>
      <x:c r="G9" s="81" t="str">
        <x:v>手不停擦桌沿、呼吸急促、眼神寻找父亲许可；供述时身体比嘴更早投降。</x:v>
      </x:c>
      <x:c r="H9" s="93" t="n">
        <x:f>COUNTIF('人物资产'!$B$2:$B$32,A9)</x:f>
        <x:v>2</x:v>
      </x:c>
    </x:row>
    <x:row r="10" ht="76" customHeight="1">
      <x:c r="A10" s="84" t="str">
        <x:v>Detective Ray Callahan</x:v>
      </x:c>
      <x:c r="B10" s="81" t="str">
        <x:v>45岁｜本地警探｜程序线支点</x:v>
      </x:c>
      <x:c r="C10" s="81" t="str">
        <x:v>起初依据现有证据将Megan之死判断为自杀。他不腐败也不愚蠢，代表错误结论有时来自证据在当下指向错误方向。</x:v>
      </x:c>
      <x:c r="D10" s="81" t="str">
        <x:v>让案件经得起检方和法庭，而非只满足家属直觉。</x:v>
      </x:c>
      <x:c r="E10" s="81" t="str">
        <x:v>害怕情绪驱动的调查污染证据，也害怕制度惯性错过真正的谋杀。</x:v>
      </x:c>
      <x:c r="F10" s="81" t="str">
        <x:v>从维持初判到主动搭建合法证据链，成为私人调查走向公共正义的桥梁。</x:v>
      </x:c>
      <x:c r="G10" s="81" t="str">
        <x:v>克制、疲惫、明确；不做救世主，关键时刻只说程序要求和下一步行动。</x:v>
      </x:c>
      <x:c r="H10" s="93" t="n">
        <x:f>COUNTIF('人物资产'!$B$2:$B$32,A10)</x:f>
        <x:v>3</x:v>
      </x:c>
    </x:row>
    <x:row r="11" ht="76" customHeight="1">
      <x:c r="A11" s="84" t="str">
        <x:v>Eddie Caruso</x:v>
      </x:c>
      <x:c r="B11" s="81" t="str">
        <x:v>68岁｜1989年银行劫匪｜旧案活证人</x:v>
      </x:c>
      <x:c r="C11" s="81" t="str">
        <x:v>有罪，却不是Megan的凶手。入狱三十五年后粗粝、警惕，不再装狠；Dot的到来迫使他承认Frank还偷走了他对时间和惩罚的理解。</x:v>
      </x:c>
      <x:c r="D11" s="81" t="str">
        <x:v>让自己的证词终于被当成事实，而非罪犯的借口。</x:v>
      </x:c>
      <x:c r="E11" s="81" t="str">
        <x:v>害怕再次相信警察，也害怕承认自己曾因羞耻隐瞒第二个声音。</x:v>
      </x:c>
      <x:c r="F11" s="81" t="str">
        <x:v>从嘲讽拒绝到交出旧录音机，完成一次迟到但必要的作证。</x:v>
      </x:c>
      <x:c r="G11" s="81" t="str">
        <x:v>粗粝中带疲惫，不表演黑帮气；苦笑比愤怒更重要。</x:v>
      </x:c>
      <x:c r="H11" s="93" t="n">
        <x:f>COUNTIF('人物资产'!$B$2:$B$32,A11)</x:f>
        <x:v>2</x:v>
      </x:c>
    </x:row>
    <x:row r="12" ht="76" customHeight="1">
      <x:c r="A12" s="84" t="str">
        <x:v>Susan Bennett</x:v>
      </x:c>
      <x:c r="B12" s="81" t="str">
        <x:v>50岁｜Claire母亲、Dot女儿｜家庭线支点</x:v>
      </x:c>
      <x:c r="C12" s="81" t="str">
        <x:v>知道母亲几十年来一直被旧案折磨。Megan死后，她把Claire推向Dot，意味着决定停止替上一代保存沉默。</x:v>
      </x:c>
      <x:c r="D12" s="81" t="str">
        <x:v>保护女儿，同时让母亲终于面对旧案。</x:v>
      </x:c>
      <x:c r="E12" s="81" t="str">
        <x:v>害怕真相摧毁家庭关系。</x:v>
      </x:c>
      <x:c r="F12" s="81" t="str">
        <x:v>从“知道但不说”转向陪伴Dot公开作证。</x:v>
      </x:c>
      <x:c r="G12" s="81" t="str">
        <x:v>戏份少但每次出现都像家庭历史的回声；语气温和，决定坚定。</x:v>
      </x:c>
      <x:c r="H12" s="93" t="n">
        <x:f>COUNTIF('人物资产'!$B$2:$B$32,A12)</x:f>
        <x:v>2</x:v>
      </x:c>
    </x:row>
    <x:row r="13" ht="76" customHeight="1">
      <x:c r="A13" s="84" t="str">
        <x:v>M. Harlan</x:v>
      </x:c>
      <x:c r="B13" s="81" t="str">
        <x:v>40–50岁｜Martin Harlan之女｜线索提供者</x:v>
      </x:c>
      <x:c r="C13" s="81" t="str">
        <x:v>朴实谨慎的宾州小镇居民。她保留并交出父亲留下的烧焦账页，使案件第一次从口述怀疑推进到可验证资金链。</x:v>
      </x:c>
      <x:c r="D13" s="81" t="str">
        <x:v>让父亲留下的不安与证据得到正确处理。</x:v>
      </x:c>
      <x:c r="E13" s="81" t="str">
        <x:v>担心旧案重新牵连家人，也不确定调查者是否值得信任。</x:v>
      </x:c>
      <x:c r="F13" s="81" t="str">
        <x:v>单集功能人物；由防御和试探转向有限度地交付证据。</x:v>
      </x:c>
      <x:c r="G13" s="81" t="str">
        <x:v>防御而谨慎，动作利落；油污与旧工装体现真实劳动生活。</x:v>
      </x:c>
      <x:c r="H13" s="93" t="n">
        <x:f>COUNTIF('人物资产'!$B$2:$B$32,A13)</x:f>
        <x:v>1</x:v>
      </x:c>
    </x:row>
    <x:row r="14" ht="76" customHeight="1">
      <x:c r="A14" s="84" t="str">
        <x:v>Rossi餐厅老板</x:v>
      </x:c>
      <x:c r="B14" s="81" t="str">
        <x:v>约60岁｜社区餐厅经营者｜记忆证人</x:v>
      </x:c>
      <x:c r="C14" s="81" t="str">
        <x:v>旧社区记忆的保存者。不是侦探，却记得Megan坐在哪里、对面的人怎样安抚她，以及柠檬派真正送给了谁。</x:v>
      </x:c>
      <x:c r="D14" s="81" t="str">
        <x:v>保护餐厅与顾客，同时把自己确实记得的事实说清楚。</x:v>
      </x:c>
      <x:c r="E14" s="81" t="str">
        <x:v>担心卷入案件损害经营，也害怕自己的记忆误导调查。</x:v>
      </x:c>
      <x:c r="F14" s="81" t="str">
        <x:v>从谨慎提供片段，到帮助纠正柠檬派误导并确认关键时间线。</x:v>
      </x:c>
      <x:c r="G14" s="81" t="str">
        <x:v>自然、熟练、有生活感；说证词时仍保持餐厅老板的工作节奏。</x:v>
      </x:c>
      <x:c r="H14" s="93" t="n">
        <x:f>COUNTIF('人物资产'!$B$2:$B$32,A14)</x:f>
        <x:v>1</x:v>
      </x:c>
    </x:row>
    <x:row r="15" ht="76" customHeight="1">
      <x:c r="A15" s="84" t="str">
        <x:v>Doyle遗孀</x:v>
      </x:c>
      <x:c r="B15" s="81" t="str">
        <x:v>约70岁｜Frank资助对象｜善意与控制的见证者</x:v>
      </x:c>
      <x:c r="C15" s="81" t="str">
        <x:v>Frank长期“行善”的受益者。她的恐惧让观众看见，这种照顾附带沉默价格，善意与控制在她身上难以区分。</x:v>
      </x:c>
      <x:c r="D15" s="81" t="str">
        <x:v>维持现有照护与生活安全。</x:v>
      </x:c>
      <x:c r="E15" s="81" t="str">
        <x:v>害怕失去资助，也害怕说出事实后遭到报复或被视为忘恩负义。</x:v>
      </x:c>
      <x:c r="F15" s="81" t="str">
        <x:v>从回避到透露足以让调查继续推进的信息。</x:v>
      </x:c>
      <x:c r="G15" s="81" t="str">
        <x:v>虚弱、手微颤；面对Frank时感激与恐惧同时存在。</x:v>
      </x:c>
      <x:c r="H15" s="93" t="n">
        <x:f>COUNTIF('人物资产'!$B$2:$B$32,A15)</x:f>
        <x:v>1</x:v>
      </x:c>
    </x:row>
    <x:row r="16" ht="76" customHeight="1">
      <x:c r="A16" s="84" t="str">
        <x:v>Franklin Doyle</x:v>
      </x:c>
      <x:c r="B16" s="81" t="str">
        <x:v>1989年银行保安｜档案人物/误导嫌疑</x:v>
      </x:c>
      <x:c r="C16" s="81" t="str">
        <x:v>另一个“F.D.”，其赌债与银行权限制造合理误导，也证明明显嫌疑有时只是被利用的遮挡。</x:v>
      </x:c>
      <x:c r="D16" s="81" t="str">
        <x:v>不适用｜主要通过档案照片和文件存在。</x:v>
      </x:c>
      <x:c r="E16" s="81" t="str">
        <x:v>不适用。</x:v>
      </x:c>
      <x:c r="F16" s="81" t="str">
        <x:v>无实体人物弧光；功能是让调查短暂偏转并深化资金线。</x:v>
      </x:c>
      <x:c r="G16" s="81" t="str">
        <x:v>仅需可信的1989年银行保安档案照片，不做反派化表情。</x:v>
      </x:c>
      <x:c r="H16" s="93" t="n">
        <x:f>COUNTIF('人物资产'!$B$2:$B$32,A16)</x:f>
        <x:v>1</x:v>
      </x:c>
    </x:row>
    <x:row r="17" ht="76" customHeight="1">
      <x:c r="A17" s="85" t="str">
        <x:v>Leo DeLuca</x:v>
      </x:c>
      <x:c r="B17" s="82" t="str">
        <x:v>1989年县警副手｜Frank已故哥哥｜档案人物</x:v>
      </x:c>
      <x:c r="C17" s="82" t="str">
        <x:v>Frank的哥哥，使旧案从个人贪腐扩展为家族式遮掩传统；主要通过照片、县警资料和Eddie记忆存在。</x:v>
      </x:c>
      <x:c r="D17" s="82" t="str">
        <x:v>不适用｜主要通过档案材料存在。</x:v>
      </x:c>
      <x:c r="E17" s="82" t="str">
        <x:v>不适用。</x:v>
      </x:c>
      <x:c r="F17" s="82" t="str">
        <x:v>无实体人物弧光；功能是补全旧案权力关系与第二个声音。</x:v>
      </x:c>
      <x:c r="G17" s="82" t="str">
        <x:v>与Frank保持兄弟骨相；照片表情中性，避免直接暗示罪犯身份。</x:v>
      </x:c>
      <x:c r="H17" s="94" t="n">
        <x:f>COUNTIF('人物资产'!$B$2:$B$32,A17)</x:f>
        <x:v>1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2b8efdf1d184eb5"/>
  </x:tableParts>
</x:worksheet>
</file>